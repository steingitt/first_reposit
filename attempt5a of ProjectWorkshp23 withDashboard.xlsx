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60" windowWidth="19110" windowHeight="6720" firstSheet="6" activeTab="8"/>
  </bookViews>
  <sheets>
    <sheet name="Sheet4" sheetId="4" r:id="rId1"/>
    <sheet name="Sheet5" sheetId="5" r:id="rId2"/>
    <sheet name="Sheet6" sheetId="6" r:id="rId3"/>
    <sheet name="Sheet7" sheetId="7" r:id="rId4"/>
    <sheet name="Sheet12" sheetId="12" r:id="rId5"/>
    <sheet name="Sheet11" sheetId="13" r:id="rId6"/>
    <sheet name="Sheet13" sheetId="14" r:id="rId7"/>
    <sheet name="Sheet14" sheetId="15" r:id="rId8"/>
    <sheet name="Sheet1" sheetId="1" r:id="rId9"/>
    <sheet name="Sheet2" sheetId="2" r:id="rId10"/>
    <sheet name="Sheet3" sheetId="3" r:id="rId11"/>
    <sheet name="Sheet8" sheetId="8" r:id="rId12"/>
    <sheet name="Sheet10" sheetId="10" r:id="rId13"/>
    <sheet name="Dashboard      11" sheetId="11" r:id="rId14"/>
  </sheets>
  <calcPr calcId="145621"/>
  <pivotCaches>
    <pivotCache cacheId="8" r:id="rId15"/>
    <pivotCache cacheId="9" r:id="rId16"/>
  </pivotCaches>
</workbook>
</file>

<file path=xl/calcChain.xml><?xml version="1.0" encoding="utf-8"?>
<calcChain xmlns="http://schemas.openxmlformats.org/spreadsheetml/2006/main">
  <c r="E12" i="11" l="1"/>
  <c r="F12" i="11" s="1"/>
  <c r="G11" i="11"/>
  <c r="H11" i="11" s="1"/>
  <c r="I11" i="11" s="1"/>
  <c r="F11" i="11"/>
  <c r="H10" i="11"/>
  <c r="I10" i="11" s="1"/>
  <c r="G10" i="11"/>
  <c r="F10" i="11"/>
  <c r="G9" i="11"/>
  <c r="H9" i="11" s="1"/>
  <c r="I9" i="11" s="1"/>
  <c r="F9" i="11"/>
  <c r="H8" i="11"/>
  <c r="I8" i="11" s="1"/>
  <c r="G8" i="11"/>
  <c r="F8" i="11"/>
  <c r="G7" i="11"/>
  <c r="H7" i="11" s="1"/>
  <c r="I7" i="11" s="1"/>
  <c r="F7" i="11"/>
  <c r="H6" i="11"/>
  <c r="I6" i="11" s="1"/>
  <c r="G6" i="11"/>
  <c r="F6" i="11"/>
  <c r="G5" i="11"/>
  <c r="H5" i="11" s="1"/>
  <c r="I5" i="11" s="1"/>
  <c r="F5" i="11"/>
  <c r="H4" i="11"/>
  <c r="I4" i="11" s="1"/>
  <c r="G4" i="11"/>
  <c r="F4" i="11"/>
  <c r="F13" i="11" s="1"/>
  <c r="G18" i="1"/>
  <c r="G17" i="1"/>
  <c r="G16" i="1"/>
  <c r="G15" i="1"/>
  <c r="E10" i="1"/>
  <c r="G10" i="1" s="1"/>
  <c r="H10" i="1" s="1"/>
  <c r="I10" i="1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2" i="1"/>
  <c r="H2" i="1" s="1"/>
  <c r="I2" i="1" s="1"/>
  <c r="F3" i="1"/>
  <c r="F4" i="1"/>
  <c r="F5" i="1"/>
  <c r="F6" i="1"/>
  <c r="F7" i="1"/>
  <c r="F8" i="1"/>
  <c r="F9" i="1"/>
  <c r="F10" i="1"/>
  <c r="F2" i="1"/>
  <c r="F11" i="1" s="1"/>
  <c r="G12" i="11" l="1"/>
  <c r="H12" i="11" s="1"/>
  <c r="I12" i="11" s="1"/>
  <c r="G13" i="2" l="1"/>
  <c r="G12" i="2"/>
  <c r="G11" i="2"/>
  <c r="G10" i="2"/>
  <c r="G9" i="2"/>
  <c r="G8" i="2"/>
  <c r="G7" i="2"/>
  <c r="G6" i="2"/>
  <c r="G5" i="2"/>
  <c r="F66" i="11" l="1"/>
  <c r="F67" i="11"/>
  <c r="F68" i="11"/>
  <c r="F69" i="11"/>
  <c r="F70" i="11"/>
  <c r="F71" i="11"/>
  <c r="F72" i="11"/>
  <c r="F73" i="11"/>
  <c r="F65" i="11"/>
  <c r="E73" i="11"/>
  <c r="E72" i="11"/>
  <c r="E71" i="11"/>
  <c r="E70" i="11"/>
  <c r="E69" i="11"/>
  <c r="E68" i="11"/>
  <c r="E67" i="11"/>
  <c r="E66" i="11"/>
  <c r="E65" i="11"/>
  <c r="E3" i="13"/>
  <c r="E4" i="13"/>
  <c r="E5" i="13"/>
  <c r="E6" i="13"/>
  <c r="E7" i="13"/>
  <c r="E8" i="13"/>
  <c r="E9" i="13"/>
  <c r="E10" i="13"/>
  <c r="E2" i="13"/>
</calcChain>
</file>

<file path=xl/sharedStrings.xml><?xml version="1.0" encoding="utf-8"?>
<sst xmlns="http://schemas.openxmlformats.org/spreadsheetml/2006/main" count="310" uniqueCount="96">
  <si>
    <t>Category</t>
  </si>
  <si>
    <t>Jan Sales</t>
  </si>
  <si>
    <t>Feb Sales</t>
  </si>
  <si>
    <t>Mar Sales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</si>
  <si>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</si>
  <si>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</si>
  <si>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</si>
  <si>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</si>
  <si>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</si>
  <si>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</si>
  <si>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</si>
  <si>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</si>
  <si>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</si>
  <si>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</si>
  <si>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</si>
  <si>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</si>
  <si>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</si>
  <si>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</si>
  <si>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Merchnd Item</t>
  </si>
  <si>
    <t>Row Labels</t>
  </si>
  <si>
    <t>Grand Total</t>
  </si>
  <si>
    <t>Sum of Jan Sales</t>
  </si>
  <si>
    <t>Sum of Feb Sales</t>
  </si>
  <si>
    <t>Sum of Mar Sales</t>
  </si>
  <si>
    <t xml:space="preserve">Data for this Chart ---&gt; </t>
  </si>
  <si>
    <t>Total for 3 Mont per item</t>
  </si>
  <si>
    <t xml:space="preserve">Summary pivot table is immediately below. </t>
  </si>
  <si>
    <t>total sales</t>
  </si>
  <si>
    <t>Sum of total sales</t>
  </si>
  <si>
    <t>Sum of aver sales</t>
  </si>
  <si>
    <t>My simple matrix on sheet1 is transformed</t>
  </si>
  <si>
    <t>into a table</t>
  </si>
  <si>
    <t>Note:</t>
  </si>
  <si>
    <t xml:space="preserve">Note: </t>
  </si>
  <si>
    <t>This file is for the 3rd Project or "Workshop" with Title</t>
  </si>
  <si>
    <t>Workshop:  Introduction To Excel</t>
  </si>
  <si>
    <t>Sum of monthly Sales</t>
  </si>
  <si>
    <t>Column G serves to fulfill</t>
  </si>
  <si>
    <t>Total with respect to Items of merchnd:</t>
  </si>
  <si>
    <t>" ---&gt;  "</t>
  </si>
  <si>
    <t>Exercise 2</t>
  </si>
  <si>
    <t>Best Sales w.r.t. Item</t>
  </si>
  <si>
    <t xml:space="preserve"> </t>
  </si>
  <si>
    <t>Best Month</t>
  </si>
  <si>
    <t>Colum for the best $#</t>
  </si>
  <si>
    <t xml:space="preserve">for </t>
  </si>
  <si>
    <t>Exercise 3</t>
  </si>
  <si>
    <t>Total Sales Universally for all</t>
  </si>
  <si>
    <t>Avg w.r.t. all items</t>
  </si>
  <si>
    <t>total</t>
  </si>
  <si>
    <t>Avg Val</t>
  </si>
  <si>
    <t>Best Month sale $s</t>
  </si>
  <si>
    <t>Worst Month sale $s</t>
  </si>
  <si>
    <t>best $sal</t>
  </si>
  <si>
    <t>worst $sal</t>
  </si>
  <si>
    <t>Sumary of Exercise 3</t>
  </si>
  <si>
    <t>"This is Table I above on top".</t>
  </si>
  <si>
    <t>See sheet 1 for the computations</t>
  </si>
  <si>
    <t>Table (1) of Sheet 1 is consulted</t>
  </si>
  <si>
    <t>Table format has been provided for</t>
  </si>
  <si>
    <t>Exercise 4.</t>
  </si>
  <si>
    <r>
      <t xml:space="preserve">This color correponds to </t>
    </r>
    <r>
      <rPr>
        <b/>
        <sz val="11"/>
        <color rgb="FFC00000"/>
        <rFont val="Calibri"/>
        <family val="2"/>
        <scheme val="minor"/>
      </rPr>
      <t>best</t>
    </r>
    <r>
      <rPr>
        <sz val="11"/>
        <color rgb="FFC00000"/>
        <rFont val="Calibri"/>
        <family val="2"/>
        <scheme val="minor"/>
      </rPr>
      <t>.</t>
    </r>
  </si>
  <si>
    <t>The first 5 colums of Table (1) were provided by Dr M Mendieta.</t>
  </si>
  <si>
    <t xml:space="preserve">This Table </t>
  </si>
  <si>
    <t xml:space="preserve">  is from Sheet 1</t>
  </si>
  <si>
    <t>This below is Pivot Plot extracted from Table 1 of Sheet 1.</t>
  </si>
  <si>
    <t>The same pivot Plot in a</t>
  </si>
  <si>
    <t xml:space="preserve">  different style.</t>
  </si>
  <si>
    <t>Notice that column (A) cites the category of Merchandise.</t>
  </si>
  <si>
    <t>PivotTable 11</t>
  </si>
  <si>
    <t xml:space="preserve">Correponds to Pivot Table 11. </t>
  </si>
  <si>
    <t>This might be redundant.</t>
  </si>
  <si>
    <t>Pivot Charts constructed Table 1 of sheet 1</t>
  </si>
  <si>
    <t>This section here was Mediated within Sheet 7.</t>
  </si>
  <si>
    <t xml:space="preserve">Pivot Table </t>
  </si>
  <si>
    <t>feb</t>
  </si>
  <si>
    <t>mar</t>
  </si>
  <si>
    <t>January</t>
  </si>
  <si>
    <t>Sorry for being out of order.</t>
  </si>
  <si>
    <t>The six rows below are a Pivot Table are somenhow extracted from Table 1 of Sheet 1.</t>
  </si>
  <si>
    <t>I do not know where the number of sale is located within the original.</t>
  </si>
  <si>
    <t>Perhaps these numbers</t>
  </si>
  <si>
    <t xml:space="preserve">  should have $ signs.</t>
  </si>
  <si>
    <t>This is the Sheet of the Dashboard</t>
  </si>
  <si>
    <r>
      <rPr>
        <b/>
        <sz val="11"/>
        <color theme="1"/>
        <rFont val="Calibri"/>
        <family val="2"/>
        <scheme val="minor"/>
      </rPr>
      <t>This was Prepared by Eric Steinfelds for Workshop (3</t>
    </r>
    <r>
      <rPr>
        <sz val="11"/>
        <color theme="1"/>
        <rFont val="Calibri"/>
        <family val="2"/>
        <scheme val="minor"/>
      </rPr>
      <t>).</t>
    </r>
  </si>
  <si>
    <t>The pivot Charts and the pivot Tables on this Dashboard are intended</t>
  </si>
  <si>
    <t>to fullfill Exercises (4) and (5).</t>
  </si>
  <si>
    <t>average</t>
  </si>
  <si>
    <t xml:space="preserve">This Pivot Table effectively includes all of the Original Table (1) except for the column of Category of Mechandise. </t>
  </si>
  <si>
    <t xml:space="preserve">The material below isFor Exercises (4) and (5) : </t>
  </si>
  <si>
    <t>There also is a Sheet 11 with relevant intermediary</t>
  </si>
  <si>
    <t>information.</t>
  </si>
  <si>
    <t>"Perhaps this Sheet is not interesting, but I offer it."</t>
  </si>
  <si>
    <t>"Go to Sheet 1 for the original Data."</t>
  </si>
  <si>
    <r>
      <rPr>
        <b/>
        <i/>
        <sz val="11"/>
        <color rgb="FFFF0000"/>
        <rFont val="Calibri"/>
        <family val="2"/>
        <scheme val="minor"/>
      </rPr>
      <t>Eric Steinfelds</t>
    </r>
    <r>
      <rPr>
        <b/>
        <sz val="11"/>
        <color rgb="FFFF0000"/>
        <rFont val="Calibri"/>
        <family val="2"/>
        <scheme val="minor"/>
      </rPr>
      <t xml:space="preserve"> is the Student/Trainee who has built up this file.</t>
    </r>
  </si>
  <si>
    <t xml:space="preserve">    the 3rd Workshop or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</si>
</sst>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8" formatCode="_([$$-409]* #,##0.00_);_([$$-409]* \(#,##0.00\);_([$$-409]* &quot;-&quot;??_);_(@_)"/>
  </numFmts>
  <fonts count="31">
    <font>
      <sz val="11"/>
      <color theme="1"/>
      <name val="Calibri"/>
      <family val="2"/>
      <scheme val="minor"/>
    </font>
    <font>
      <sz val="11"/>
      <color rgb="FF000000"/>
      <name val="Aptos Narrow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00"/>
      <name val="Aptos Narrow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Aptos Narrow"/>
    </font>
    <font>
      <b/>
      <sz val="11"/>
      <color theme="4"/>
      <name val="Calibri"/>
      <family val="2"/>
      <scheme val="minor"/>
    </font>
    <font>
      <b/>
      <sz val="9"/>
      <color theme="4"/>
      <name val="Aptos Narrow"/>
    </font>
    <font>
      <b/>
      <sz val="10"/>
      <color rgb="FFC00000"/>
      <name val="Aptos Narrow"/>
    </font>
    <font>
      <sz val="11"/>
      <color rgb="FFFF0000"/>
      <name val="Aptos Narrow"/>
    </font>
    <font>
      <b/>
      <u/>
      <sz val="11"/>
      <color theme="4"/>
      <name val="Calibri"/>
      <family val="2"/>
      <scheme val="minor"/>
    </font>
    <font>
      <sz val="9"/>
      <color rgb="FFC00000"/>
      <name val="Calibri"/>
      <family val="2"/>
      <scheme val="minor"/>
    </font>
    <font>
      <u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C00000"/>
      <name val="Aptos Narrow"/>
    </font>
    <font>
      <sz val="10"/>
      <color rgb="FF000000"/>
      <name val="Aptos Narrow"/>
    </font>
    <font>
      <sz val="8"/>
      <color rgb="FF000000"/>
      <name val="Aptos Narrow"/>
    </font>
    <font>
      <b/>
      <sz val="11"/>
      <color rgb="FF00B050"/>
      <name val="Calibri"/>
      <family val="2"/>
      <scheme val="minor"/>
    </font>
    <font>
      <sz val="10"/>
      <color rgb="FFC00000"/>
      <name val="Aptos Narrow"/>
    </font>
    <font>
      <sz val="10"/>
      <color theme="4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6600"/>
      <name val="Aptos Narrow"/>
    </font>
    <font>
      <b/>
      <sz val="11"/>
      <color rgb="FF006600"/>
      <name val="Aptos Narrow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0" fontId="8" fillId="0" borderId="0" xfId="0" applyFont="1"/>
    <xf numFmtId="0" fontId="11" fillId="0" borderId="0" xfId="0" applyFont="1" applyAlignment="1"/>
    <xf numFmtId="0" fontId="12" fillId="0" borderId="1" xfId="0" applyFont="1" applyBorder="1" applyAlignment="1">
      <alignment horizontal="center"/>
    </xf>
    <xf numFmtId="0" fontId="10" fillId="0" borderId="0" xfId="0" applyFont="1"/>
    <xf numFmtId="0" fontId="13" fillId="0" borderId="0" xfId="0" applyFont="1" applyAlignment="1">
      <alignment horizontal="left" wrapText="1"/>
    </xf>
    <xf numFmtId="0" fontId="7" fillId="0" borderId="0" xfId="0" applyFont="1"/>
    <xf numFmtId="0" fontId="16" fillId="0" borderId="0" xfId="0" applyFont="1"/>
    <xf numFmtId="0" fontId="17" fillId="0" borderId="0" xfId="0" applyFont="1" applyAlignment="1">
      <alignment wrapText="1"/>
    </xf>
    <xf numFmtId="0" fontId="2" fillId="0" borderId="2" xfId="0" applyFont="1" applyBorder="1"/>
    <xf numFmtId="0" fontId="0" fillId="0" borderId="3" xfId="0" applyBorder="1"/>
    <xf numFmtId="0" fontId="16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/>
    <xf numFmtId="0" fontId="17" fillId="0" borderId="0" xfId="0" applyFont="1" applyBorder="1" applyAlignment="1">
      <alignment wrapText="1"/>
    </xf>
    <xf numFmtId="0" fontId="4" fillId="0" borderId="6" xfId="0" applyFont="1" applyBorder="1"/>
    <xf numFmtId="0" fontId="19" fillId="0" borderId="0" xfId="0" applyFont="1" applyBorder="1" applyAlignment="1">
      <alignment wrapText="1"/>
    </xf>
    <xf numFmtId="0" fontId="18" fillId="0" borderId="0" xfId="0" applyFont="1" applyBorder="1"/>
    <xf numFmtId="0" fontId="0" fillId="0" borderId="7" xfId="0" applyBorder="1"/>
    <xf numFmtId="0" fontId="3" fillId="0" borderId="8" xfId="0" applyFont="1" applyBorder="1"/>
    <xf numFmtId="0" fontId="17" fillId="0" borderId="8" xfId="0" applyFont="1" applyBorder="1" applyAlignment="1">
      <alignment wrapText="1"/>
    </xf>
    <xf numFmtId="0" fontId="4" fillId="0" borderId="9" xfId="0" applyFont="1" applyBorder="1"/>
    <xf numFmtId="168" fontId="1" fillId="0" borderId="0" xfId="0" applyNumberFormat="1" applyFont="1" applyAlignment="1"/>
    <xf numFmtId="168" fontId="10" fillId="0" borderId="0" xfId="0" applyNumberFormat="1" applyFont="1" applyAlignment="1">
      <alignment horizontal="center"/>
    </xf>
    <xf numFmtId="44" fontId="4" fillId="0" borderId="0" xfId="1" applyFont="1"/>
    <xf numFmtId="44" fontId="3" fillId="0" borderId="0" xfId="1" applyFont="1" applyBorder="1"/>
    <xf numFmtId="44" fontId="3" fillId="0" borderId="8" xfId="1" applyFont="1" applyBorder="1"/>
    <xf numFmtId="44" fontId="1" fillId="0" borderId="0" xfId="1" applyFont="1" applyAlignment="1"/>
    <xf numFmtId="44" fontId="0" fillId="0" borderId="0" xfId="1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168" fontId="20" fillId="0" borderId="0" xfId="0" applyNumberFormat="1" applyFont="1" applyAlignment="1"/>
    <xf numFmtId="0" fontId="22" fillId="0" borderId="0" xfId="0" applyFont="1" applyAlignment="1">
      <alignment wrapText="1"/>
    </xf>
    <xf numFmtId="0" fontId="23" fillId="0" borderId="0" xfId="0" applyFont="1"/>
    <xf numFmtId="168" fontId="21" fillId="0" borderId="0" xfId="0" applyNumberFormat="1" applyFont="1" applyAlignment="1"/>
    <xf numFmtId="168" fontId="24" fillId="0" borderId="0" xfId="0" applyNumberFormat="1" applyFont="1" applyAlignment="1"/>
    <xf numFmtId="168" fontId="25" fillId="0" borderId="0" xfId="0" applyNumberFormat="1" applyFont="1" applyAlignment="1">
      <alignment horizontal="center"/>
    </xf>
    <xf numFmtId="44" fontId="19" fillId="0" borderId="0" xfId="1" applyFont="1"/>
    <xf numFmtId="0" fontId="12" fillId="0" borderId="0" xfId="0" applyFont="1" applyBorder="1" applyAlignment="1">
      <alignment horizontal="center"/>
    </xf>
    <xf numFmtId="0" fontId="26" fillId="0" borderId="0" xfId="0" applyFont="1"/>
    <xf numFmtId="0" fontId="9" fillId="0" borderId="0" xfId="0" applyFont="1"/>
    <xf numFmtId="0" fontId="27" fillId="0" borderId="0" xfId="0" applyFont="1" applyAlignment="1"/>
    <xf numFmtId="44" fontId="0" fillId="0" borderId="0" xfId="0" applyNumberFormat="1"/>
    <xf numFmtId="0" fontId="28" fillId="0" borderId="0" xfId="0" applyFont="1" applyAlignment="1"/>
    <xf numFmtId="0" fontId="29" fillId="0" borderId="0" xfId="0" applyFont="1"/>
  </cellXfs>
  <cellStyles count="2">
    <cellStyle name="Currency" xfId="1" builtinId="4"/>
    <cellStyle name="Normal" xfId="0" builtinId="0"/>
  </cellStyles>
  <dxfs count="2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scheme val="minor"/>
      </font>
      <numFmt numFmtId="168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8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8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8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scheme val="minor"/>
      </font>
      <numFmt numFmtId="168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8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8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68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withDashboard.xlsx]Sheet6!PivotTable4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Sheet6!$A$2:$A$20</c:f>
              <c:multiLvlStrCache>
                <c:ptCount val="9"/>
                <c:lvl>
                  <c:pt idx="0">
                    <c:v>Appliances</c:v>
                  </c:pt>
                  <c:pt idx="1">
                    <c:v>Appliances</c:v>
                  </c:pt>
                  <c:pt idx="2">
                    <c:v>Furniture</c:v>
                  </c:pt>
                  <c:pt idx="3">
                    <c:v>Electronics</c:v>
                  </c:pt>
                  <c:pt idx="4">
                    <c:v>Clothing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Footware</c:v>
                  </c:pt>
                  <c:pt idx="8">
                    <c:v>Clothing</c:v>
                  </c:pt>
                </c:lvl>
                <c:lvl>
                  <c:pt idx="0">
                    <c:v>Blender</c:v>
                  </c:pt>
                  <c:pt idx="1">
                    <c:v>Coffee Maker</c:v>
                  </c:pt>
                  <c:pt idx="2">
                    <c:v>Desk Chair</c:v>
                  </c:pt>
                  <c:pt idx="3">
                    <c:v>Headphones</c:v>
                  </c:pt>
                  <c:pt idx="4">
                    <c:v>Jeans</c:v>
                  </c:pt>
                  <c:pt idx="5">
                    <c:v>Laptop</c:v>
                  </c:pt>
                  <c:pt idx="6">
                    <c:v>Smartphone</c:v>
                  </c:pt>
                  <c:pt idx="7">
                    <c:v>Sneakers</c:v>
                  </c:pt>
                  <c:pt idx="8">
                    <c:v>T-Shirt</c:v>
                  </c:pt>
                </c:lvl>
              </c:multiLvlStrCache>
            </c:multiLvlStrRef>
          </c:cat>
          <c:val>
            <c:numRef>
              <c:f>Sheet6!$B$2:$B$20</c:f>
              <c:numCache>
                <c:formatCode>General</c:formatCode>
                <c:ptCount val="9"/>
                <c:pt idx="0">
                  <c:v>80</c:v>
                </c:pt>
                <c:pt idx="1">
                  <c:v>120</c:v>
                </c:pt>
                <c:pt idx="2">
                  <c:v>350</c:v>
                </c:pt>
                <c:pt idx="3">
                  <c:v>150</c:v>
                </c:pt>
                <c:pt idx="4">
                  <c:v>300</c:v>
                </c:pt>
                <c:pt idx="5">
                  <c:v>1200</c:v>
                </c:pt>
                <c:pt idx="6">
                  <c:v>800</c:v>
                </c:pt>
                <c:pt idx="7">
                  <c:v>250</c:v>
                </c:pt>
                <c:pt idx="8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22912"/>
        <c:axId val="121624448"/>
      </c:barChart>
      <c:catAx>
        <c:axId val="121622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21624448"/>
        <c:crosses val="autoZero"/>
        <c:auto val="1"/>
        <c:lblAlgn val="ctr"/>
        <c:lblOffset val="100"/>
        <c:noMultiLvlLbl val="0"/>
      </c:catAx>
      <c:valAx>
        <c:axId val="12162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622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withDashboard.xlsx]Sheet7!PivotTable5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5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250</c:v>
                </c:pt>
                <c:pt idx="4">
                  <c:v>350</c:v>
                </c:pt>
              </c:numCache>
            </c:numRef>
          </c:val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Sheet7!$C$2:$C$7</c:f>
              <c:numCache>
                <c:formatCode>General</c:formatCode>
                <c:ptCount val="5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280</c:v>
                </c:pt>
                <c:pt idx="4">
                  <c:v>300</c:v>
                </c:pt>
              </c:numCache>
            </c:numRef>
          </c:val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Sheet7!$D$2:$D$7</c:f>
              <c:numCache>
                <c:formatCode>General</c:formatCode>
                <c:ptCount val="5"/>
                <c:pt idx="0">
                  <c:v>270</c:v>
                </c:pt>
                <c:pt idx="1">
                  <c:v>700</c:v>
                </c:pt>
                <c:pt idx="2">
                  <c:v>2700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37600"/>
        <c:axId val="121739136"/>
      </c:barChart>
      <c:catAx>
        <c:axId val="121737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21739136"/>
        <c:crosses val="autoZero"/>
        <c:auto val="1"/>
        <c:lblAlgn val="ctr"/>
        <c:lblOffset val="100"/>
        <c:noMultiLvlLbl val="0"/>
      </c:catAx>
      <c:valAx>
        <c:axId val="12173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737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withDashboard.xlsx]Sheet7!PivotTable5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5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250</c:v>
                </c:pt>
                <c:pt idx="4">
                  <c:v>350</c:v>
                </c:pt>
              </c:numCache>
            </c:numRef>
          </c:val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Sheet7!$C$2:$C$7</c:f>
              <c:numCache>
                <c:formatCode>General</c:formatCode>
                <c:ptCount val="5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280</c:v>
                </c:pt>
                <c:pt idx="4">
                  <c:v>300</c:v>
                </c:pt>
              </c:numCache>
            </c:numRef>
          </c:val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Sheet7!$D$2:$D$7</c:f>
              <c:numCache>
                <c:formatCode>General</c:formatCode>
                <c:ptCount val="5"/>
                <c:pt idx="0">
                  <c:v>270</c:v>
                </c:pt>
                <c:pt idx="1">
                  <c:v>700</c:v>
                </c:pt>
                <c:pt idx="2">
                  <c:v>2700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756672"/>
        <c:axId val="121783040"/>
      </c:barChart>
      <c:catAx>
        <c:axId val="121756672"/>
        <c:scaling>
          <c:orientation val="minMax"/>
        </c:scaling>
        <c:delete val="0"/>
        <c:axPos val="b"/>
        <c:majorTickMark val="out"/>
        <c:minorTickMark val="none"/>
        <c:tickLblPos val="nextTo"/>
        <c:crossAx val="121783040"/>
        <c:crosses val="autoZero"/>
        <c:auto val="1"/>
        <c:lblAlgn val="ctr"/>
        <c:lblOffset val="100"/>
        <c:noMultiLvlLbl val="0"/>
      </c:catAx>
      <c:valAx>
        <c:axId val="1217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756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withDashboard.xlsx]Sheet12!PivotTable7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Sheet12!$A$2:$A$11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Sheet12!$B$2:$B$11</c:f>
              <c:numCache>
                <c:formatCode>General</c:formatCode>
                <c:ptCount val="9"/>
                <c:pt idx="0">
                  <c:v>100</c:v>
                </c:pt>
                <c:pt idx="1">
                  <c:v>140</c:v>
                </c:pt>
                <c:pt idx="2">
                  <c:v>300</c:v>
                </c:pt>
                <c:pt idx="3">
                  <c:v>200</c:v>
                </c:pt>
                <c:pt idx="4">
                  <c:v>350</c:v>
                </c:pt>
                <c:pt idx="5">
                  <c:v>1400</c:v>
                </c:pt>
                <c:pt idx="6">
                  <c:v>950</c:v>
                </c:pt>
                <c:pt idx="7">
                  <c:v>280</c:v>
                </c:pt>
                <c:pt idx="8">
                  <c:v>250</c:v>
                </c:pt>
              </c:numCache>
            </c:numRef>
          </c:val>
        </c:ser>
        <c:ser>
          <c:idx val="1"/>
          <c:order val="1"/>
          <c:tx>
            <c:strRef>
              <c:f>Sheet12!$C$1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Sheet12!$A$2:$A$11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Sheet12!$C$2:$C$11</c:f>
              <c:numCache>
                <c:formatCode>General</c:formatCode>
                <c:ptCount val="9"/>
                <c:pt idx="0">
                  <c:v>110</c:v>
                </c:pt>
                <c:pt idx="1">
                  <c:v>160</c:v>
                </c:pt>
                <c:pt idx="2">
                  <c:v>400</c:v>
                </c:pt>
                <c:pt idx="3">
                  <c:v>250</c:v>
                </c:pt>
                <c:pt idx="4">
                  <c:v>400</c:v>
                </c:pt>
                <c:pt idx="5">
                  <c:v>1350</c:v>
                </c:pt>
                <c:pt idx="6">
                  <c:v>1100</c:v>
                </c:pt>
                <c:pt idx="7">
                  <c:v>320</c:v>
                </c:pt>
                <c:pt idx="8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894784"/>
        <c:axId val="121896320"/>
      </c:barChart>
      <c:catAx>
        <c:axId val="121894784"/>
        <c:scaling>
          <c:orientation val="minMax"/>
        </c:scaling>
        <c:delete val="0"/>
        <c:axPos val="b"/>
        <c:majorTickMark val="out"/>
        <c:minorTickMark val="none"/>
        <c:tickLblPos val="nextTo"/>
        <c:crossAx val="121896320"/>
        <c:crosses val="autoZero"/>
        <c:auto val="1"/>
        <c:lblAlgn val="ctr"/>
        <c:lblOffset val="100"/>
        <c:noMultiLvlLbl val="0"/>
      </c:catAx>
      <c:valAx>
        <c:axId val="12189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894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withDashboard.xlsx]Sheet11!PivotTable10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Sheet11!$A$2:$A$11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Sheet11!$B$2:$B$11</c:f>
              <c:numCache>
                <c:formatCode>General</c:formatCode>
                <c:ptCount val="9"/>
                <c:pt idx="0">
                  <c:v>80</c:v>
                </c:pt>
                <c:pt idx="1">
                  <c:v>120</c:v>
                </c:pt>
                <c:pt idx="2">
                  <c:v>350</c:v>
                </c:pt>
                <c:pt idx="3">
                  <c:v>150</c:v>
                </c:pt>
                <c:pt idx="4">
                  <c:v>300</c:v>
                </c:pt>
                <c:pt idx="5">
                  <c:v>1200</c:v>
                </c:pt>
                <c:pt idx="6">
                  <c:v>800</c:v>
                </c:pt>
                <c:pt idx="7">
                  <c:v>250</c:v>
                </c:pt>
                <c:pt idx="8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Sheet11!$A$2:$A$11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Sheet11!$C$2:$C$11</c:f>
              <c:numCache>
                <c:formatCode>General</c:formatCode>
                <c:ptCount val="9"/>
                <c:pt idx="0">
                  <c:v>100</c:v>
                </c:pt>
                <c:pt idx="1">
                  <c:v>140</c:v>
                </c:pt>
                <c:pt idx="2">
                  <c:v>300</c:v>
                </c:pt>
                <c:pt idx="3">
                  <c:v>200</c:v>
                </c:pt>
                <c:pt idx="4">
                  <c:v>350</c:v>
                </c:pt>
                <c:pt idx="5">
                  <c:v>1400</c:v>
                </c:pt>
                <c:pt idx="6">
                  <c:v>950</c:v>
                </c:pt>
                <c:pt idx="7">
                  <c:v>280</c:v>
                </c:pt>
                <c:pt idx="8">
                  <c:v>250</c:v>
                </c:pt>
              </c:numCache>
            </c:numRef>
          </c:val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Sheet11!$A$2:$A$11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Sheet11!$D$2:$D$11</c:f>
              <c:numCache>
                <c:formatCode>General</c:formatCode>
                <c:ptCount val="9"/>
                <c:pt idx="0">
                  <c:v>110</c:v>
                </c:pt>
                <c:pt idx="1">
                  <c:v>160</c:v>
                </c:pt>
                <c:pt idx="2">
                  <c:v>400</c:v>
                </c:pt>
                <c:pt idx="3">
                  <c:v>250</c:v>
                </c:pt>
                <c:pt idx="4">
                  <c:v>400</c:v>
                </c:pt>
                <c:pt idx="5">
                  <c:v>1350</c:v>
                </c:pt>
                <c:pt idx="6">
                  <c:v>1100</c:v>
                </c:pt>
                <c:pt idx="7">
                  <c:v>320</c:v>
                </c:pt>
                <c:pt idx="8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119296"/>
        <c:axId val="122120832"/>
      </c:barChart>
      <c:catAx>
        <c:axId val="122119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22120832"/>
        <c:crosses val="autoZero"/>
        <c:auto val="1"/>
        <c:lblAlgn val="ctr"/>
        <c:lblOffset val="100"/>
        <c:noMultiLvlLbl val="0"/>
      </c:catAx>
      <c:valAx>
        <c:axId val="1221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119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withDashboard.xlsx]Sheet13!PivotTable12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Sheet13!$A$2:$A$6</c:f>
              <c:strCache>
                <c:ptCount val="4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</c:strCache>
            </c:strRef>
          </c:cat>
          <c:val>
            <c:numRef>
              <c:f>Sheet13!$B$2:$B$6</c:f>
              <c:numCache>
                <c:formatCode>General</c:formatCode>
                <c:ptCount val="4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strRef>
              <c:f>Sheet13!$C$1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Sheet13!$A$2:$A$6</c:f>
              <c:strCache>
                <c:ptCount val="4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</c:strCache>
            </c:strRef>
          </c:cat>
          <c:val>
            <c:numRef>
              <c:f>Sheet13!$C$2:$C$6</c:f>
              <c:numCache>
                <c:formatCode>General</c:formatCode>
                <c:ptCount val="4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73792"/>
        <c:axId val="122275328"/>
      </c:barChart>
      <c:catAx>
        <c:axId val="12227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22275328"/>
        <c:crosses val="autoZero"/>
        <c:auto val="1"/>
        <c:lblAlgn val="ctr"/>
        <c:lblOffset val="100"/>
        <c:noMultiLvlLbl val="0"/>
      </c:catAx>
      <c:valAx>
        <c:axId val="12227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273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withDashboard.xlsx]Sheet14!PivotTable13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Sheet14!$B$1</c:f>
              <c:strCache>
                <c:ptCount val="1"/>
                <c:pt idx="0">
                  <c:v>Sum of total sales</c:v>
                </c:pt>
              </c:strCache>
            </c:strRef>
          </c:tx>
          <c:invertIfNegative val="0"/>
          <c:cat>
            <c:strRef>
              <c:f>Sheet14!$A$2:$A$7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Sheet14!$B$2:$B$7</c:f>
              <c:numCache>
                <c:formatCode>General</c:formatCode>
                <c:ptCount val="5"/>
                <c:pt idx="0">
                  <c:v>710</c:v>
                </c:pt>
                <c:pt idx="1">
                  <c:v>1800</c:v>
                </c:pt>
                <c:pt idx="2">
                  <c:v>7400</c:v>
                </c:pt>
                <c:pt idx="3">
                  <c:v>850</c:v>
                </c:pt>
                <c:pt idx="4">
                  <c:v>1050</c:v>
                </c:pt>
              </c:numCache>
            </c:numRef>
          </c:val>
        </c:ser>
        <c:ser>
          <c:idx val="1"/>
          <c:order val="1"/>
          <c:tx>
            <c:strRef>
              <c:f>Sheet14!$C$1</c:f>
              <c:strCache>
                <c:ptCount val="1"/>
                <c:pt idx="0">
                  <c:v>Sum of aver sales</c:v>
                </c:pt>
              </c:strCache>
            </c:strRef>
          </c:tx>
          <c:invertIfNegative val="0"/>
          <c:cat>
            <c:strRef>
              <c:f>Sheet14!$A$2:$A$7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Sheet14!$C$2:$C$7</c:f>
              <c:numCache>
                <c:formatCode>General</c:formatCode>
                <c:ptCount val="5"/>
                <c:pt idx="0">
                  <c:v>236.66666666666669</c:v>
                </c:pt>
                <c:pt idx="1">
                  <c:v>600</c:v>
                </c:pt>
                <c:pt idx="2">
                  <c:v>2466.666666666667</c:v>
                </c:pt>
                <c:pt idx="3">
                  <c:v>283.33333333333331</c:v>
                </c:pt>
                <c:pt idx="4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38240"/>
        <c:axId val="122544128"/>
      </c:barChart>
      <c:catAx>
        <c:axId val="122538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22544128"/>
        <c:crosses val="autoZero"/>
        <c:auto val="1"/>
        <c:lblAlgn val="ctr"/>
        <c:lblOffset val="100"/>
        <c:noMultiLvlLbl val="0"/>
      </c:catAx>
      <c:valAx>
        <c:axId val="12254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538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withDashboard.xlsx]Sheet7!PivotTable5</c:name>
    <c:fmtId val="6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5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250</c:v>
                </c:pt>
                <c:pt idx="4">
                  <c:v>350</c:v>
                </c:pt>
              </c:numCache>
            </c:numRef>
          </c:val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Sheet7!$C$2:$C$7</c:f>
              <c:numCache>
                <c:formatCode>General</c:formatCode>
                <c:ptCount val="5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280</c:v>
                </c:pt>
                <c:pt idx="4">
                  <c:v>300</c:v>
                </c:pt>
              </c:numCache>
            </c:numRef>
          </c:val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Sheet7!$D$2:$D$7</c:f>
              <c:numCache>
                <c:formatCode>General</c:formatCode>
                <c:ptCount val="5"/>
                <c:pt idx="0">
                  <c:v>270</c:v>
                </c:pt>
                <c:pt idx="1">
                  <c:v>700</c:v>
                </c:pt>
                <c:pt idx="2">
                  <c:v>2700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40832"/>
        <c:axId val="123646720"/>
      </c:barChart>
      <c:catAx>
        <c:axId val="123640832"/>
        <c:scaling>
          <c:orientation val="minMax"/>
        </c:scaling>
        <c:delete val="0"/>
        <c:axPos val="b"/>
        <c:majorTickMark val="out"/>
        <c:minorTickMark val="none"/>
        <c:tickLblPos val="nextTo"/>
        <c:crossAx val="123646720"/>
        <c:crosses val="autoZero"/>
        <c:auto val="1"/>
        <c:lblAlgn val="ctr"/>
        <c:lblOffset val="100"/>
        <c:noMultiLvlLbl val="0"/>
      </c:catAx>
      <c:valAx>
        <c:axId val="123646720"/>
        <c:scaling>
          <c:orientation val="minMax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crossAx val="123640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withDashboard.xlsx]Sheet7!PivotTable5</c:name>
    <c:fmtId val="9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5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250</c:v>
                </c:pt>
                <c:pt idx="4">
                  <c:v>350</c:v>
                </c:pt>
              </c:numCache>
            </c:numRef>
          </c:val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Sheet7!$C$2:$C$7</c:f>
              <c:numCache>
                <c:formatCode>General</c:formatCode>
                <c:ptCount val="5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280</c:v>
                </c:pt>
                <c:pt idx="4">
                  <c:v>300</c:v>
                </c:pt>
              </c:numCache>
            </c:numRef>
          </c:val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Sheet7!$A$2:$A$7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Sheet7!$D$2:$D$7</c:f>
              <c:numCache>
                <c:formatCode>General</c:formatCode>
                <c:ptCount val="5"/>
                <c:pt idx="0">
                  <c:v>270</c:v>
                </c:pt>
                <c:pt idx="1">
                  <c:v>700</c:v>
                </c:pt>
                <c:pt idx="2">
                  <c:v>2700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95360"/>
        <c:axId val="133696896"/>
      </c:barChart>
      <c:catAx>
        <c:axId val="13369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696896"/>
        <c:crosses val="autoZero"/>
        <c:auto val="1"/>
        <c:lblAlgn val="ctr"/>
        <c:lblOffset val="100"/>
        <c:noMultiLvlLbl val="0"/>
      </c:catAx>
      <c:valAx>
        <c:axId val="133696896"/>
        <c:scaling>
          <c:orientation val="minMax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crossAx val="133695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[attempt5a of ProjectWorkshp23 withDashboard.xlsx]Sheet11!PivotTable10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Sum of Jan Sales</c:v>
                </c:pt>
              </c:strCache>
            </c:strRef>
          </c:tx>
          <c:invertIfNegative val="0"/>
          <c:cat>
            <c:strRef>
              <c:f>Sheet11!$A$2:$A$11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Sheet11!$B$2:$B$11</c:f>
              <c:numCache>
                <c:formatCode>General</c:formatCode>
                <c:ptCount val="9"/>
                <c:pt idx="0">
                  <c:v>80</c:v>
                </c:pt>
                <c:pt idx="1">
                  <c:v>120</c:v>
                </c:pt>
                <c:pt idx="2">
                  <c:v>350</c:v>
                </c:pt>
                <c:pt idx="3">
                  <c:v>150</c:v>
                </c:pt>
                <c:pt idx="4">
                  <c:v>300</c:v>
                </c:pt>
                <c:pt idx="5">
                  <c:v>1200</c:v>
                </c:pt>
                <c:pt idx="6">
                  <c:v>800</c:v>
                </c:pt>
                <c:pt idx="7">
                  <c:v>250</c:v>
                </c:pt>
                <c:pt idx="8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Sum of Feb Sales</c:v>
                </c:pt>
              </c:strCache>
            </c:strRef>
          </c:tx>
          <c:invertIfNegative val="0"/>
          <c:cat>
            <c:strRef>
              <c:f>Sheet11!$A$2:$A$11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Sheet11!$C$2:$C$11</c:f>
              <c:numCache>
                <c:formatCode>General</c:formatCode>
                <c:ptCount val="9"/>
                <c:pt idx="0">
                  <c:v>100</c:v>
                </c:pt>
                <c:pt idx="1">
                  <c:v>140</c:v>
                </c:pt>
                <c:pt idx="2">
                  <c:v>300</c:v>
                </c:pt>
                <c:pt idx="3">
                  <c:v>200</c:v>
                </c:pt>
                <c:pt idx="4">
                  <c:v>350</c:v>
                </c:pt>
                <c:pt idx="5">
                  <c:v>1400</c:v>
                </c:pt>
                <c:pt idx="6">
                  <c:v>950</c:v>
                </c:pt>
                <c:pt idx="7">
                  <c:v>280</c:v>
                </c:pt>
                <c:pt idx="8">
                  <c:v>250</c:v>
                </c:pt>
              </c:numCache>
            </c:numRef>
          </c:val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Sum of Mar Sales</c:v>
                </c:pt>
              </c:strCache>
            </c:strRef>
          </c:tx>
          <c:invertIfNegative val="0"/>
          <c:cat>
            <c:strRef>
              <c:f>Sheet11!$A$2:$A$11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Sheet11!$D$2:$D$11</c:f>
              <c:numCache>
                <c:formatCode>General</c:formatCode>
                <c:ptCount val="9"/>
                <c:pt idx="0">
                  <c:v>110</c:v>
                </c:pt>
                <c:pt idx="1">
                  <c:v>160</c:v>
                </c:pt>
                <c:pt idx="2">
                  <c:v>400</c:v>
                </c:pt>
                <c:pt idx="3">
                  <c:v>250</c:v>
                </c:pt>
                <c:pt idx="4">
                  <c:v>400</c:v>
                </c:pt>
                <c:pt idx="5">
                  <c:v>1350</c:v>
                </c:pt>
                <c:pt idx="6">
                  <c:v>1100</c:v>
                </c:pt>
                <c:pt idx="7">
                  <c:v>320</c:v>
                </c:pt>
                <c:pt idx="8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738496"/>
        <c:axId val="137768960"/>
      </c:barChart>
      <c:catAx>
        <c:axId val="1377384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7768960"/>
        <c:crosses val="autoZero"/>
        <c:auto val="1"/>
        <c:lblAlgn val="ctr"/>
        <c:lblOffset val="100"/>
        <c:noMultiLvlLbl val="0"/>
      </c:catAx>
      <c:valAx>
        <c:axId val="137768960"/>
        <c:scaling>
          <c:orientation val="minMax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crossAx val="137738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4</xdr:row>
      <xdr:rowOff>104775</xdr:rowOff>
    </xdr:from>
    <xdr:to>
      <xdr:col>10</xdr:col>
      <xdr:colOff>476250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9</xdr:col>
      <xdr:colOff>438150</xdr:colOff>
      <xdr:row>36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3</xdr:row>
      <xdr:rowOff>123825</xdr:rowOff>
    </xdr:from>
    <xdr:to>
      <xdr:col>14</xdr:col>
      <xdr:colOff>285750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14</xdr:row>
      <xdr:rowOff>0</xdr:rowOff>
    </xdr:from>
    <xdr:to>
      <xdr:col>14</xdr:col>
      <xdr:colOff>104775</xdr:colOff>
      <xdr:row>28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15</xdr:row>
      <xdr:rowOff>180975</xdr:rowOff>
    </xdr:from>
    <xdr:to>
      <xdr:col>14</xdr:col>
      <xdr:colOff>600075</xdr:colOff>
      <xdr:row>30</xdr:row>
      <xdr:rowOff>66675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31</xdr:row>
      <xdr:rowOff>85725</xdr:rowOff>
    </xdr:from>
    <xdr:to>
      <xdr:col>18</xdr:col>
      <xdr:colOff>38100</xdr:colOff>
      <xdr:row>45</xdr:row>
      <xdr:rowOff>161925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22</xdr:row>
      <xdr:rowOff>38100</xdr:rowOff>
    </xdr:from>
    <xdr:to>
      <xdr:col>3</xdr:col>
      <xdr:colOff>361950</xdr:colOff>
      <xdr:row>25</xdr:row>
      <xdr:rowOff>38100</xdr:rowOff>
    </xdr:to>
    <xdr:cxnSp macro="">
      <xdr:nvCxnSpPr>
        <xdr:cNvPr id="4" name="Straight Arrow Connector 3"/>
        <xdr:cNvCxnSpPr/>
      </xdr:nvCxnSpPr>
      <xdr:spPr>
        <a:xfrm flipH="1" flipV="1">
          <a:off x="657225" y="4972050"/>
          <a:ext cx="169545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0</xdr:rowOff>
    </xdr:from>
    <xdr:to>
      <xdr:col>13</xdr:col>
      <xdr:colOff>504825</xdr:colOff>
      <xdr:row>60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64.418068865743" createdVersion="4" refreshedVersion="4" minRefreshableVersion="3" recordCount="9">
  <cacheSource type="worksheet">
    <worksheetSource ref="A1:E10" sheet="Sheet1"/>
  </cacheSource>
  <cacheFields count="5">
    <cacheField name="Merchnd Item" numFmtId="0">
      <sharedItems count="9">
        <s v="Laptop"/>
        <s v="Smartphone"/>
        <s v="Headphones"/>
        <s v="Desk Chair"/>
        <s v="Coffee Maker"/>
        <s v="Blender"/>
        <s v="T-Shirt"/>
        <s v="Jeans"/>
        <s v="Sneakers"/>
      </sharedItems>
    </cacheField>
    <cacheField name="Category" numFmtId="0">
      <sharedItems count="5">
        <s v="Electronics"/>
        <s v="Furniture"/>
        <s v="Appliances"/>
        <s v="Clothing"/>
        <s v="Footware"/>
      </sharedItems>
    </cacheField>
    <cacheField name="Jan Sales" numFmtId="0">
      <sharedItems containsSemiMixedTypes="0" containsString="0" containsNumber="1" containsInteger="1" minValue="80" maxValue="1200"/>
    </cacheField>
    <cacheField name="Feb Sales" numFmtId="0">
      <sharedItems containsSemiMixedTypes="0" containsString="0" containsNumber="1" containsInteger="1" minValue="100" maxValue="1400"/>
    </cacheField>
    <cacheField name="Mar Sales" numFmtId="0">
      <sharedItems containsSemiMixedTypes="0" containsString="0" containsNumber="1" containsInteger="1" minValue="110" maxValue="1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64.780308680558" createdVersion="4" refreshedVersion="4" minRefreshableVersion="3" recordCount="9">
  <cacheSource type="worksheet">
    <worksheetSource ref="B1:L10" sheet="Sheet1"/>
  </cacheSource>
  <cacheFields count="6">
    <cacheField name="Category" numFmtId="0">
      <sharedItems count="5">
        <s v="Electronics"/>
        <s v="Furniture"/>
        <s v="Appliances"/>
        <s v="Clothing"/>
        <s v="Footware"/>
      </sharedItems>
    </cacheField>
    <cacheField name="Jan Sales" numFmtId="0">
      <sharedItems containsSemiMixedTypes="0" containsString="0" containsNumber="1" containsInteger="1" minValue="80" maxValue="1200"/>
    </cacheField>
    <cacheField name="Feb Sales" numFmtId="0">
      <sharedItems containsSemiMixedTypes="0" containsString="0" containsNumber="1" containsInteger="1" minValue="100" maxValue="1400"/>
    </cacheField>
    <cacheField name="Mar Sales" numFmtId="0">
      <sharedItems containsSemiMixedTypes="0" containsString="0" containsNumber="1" containsInteger="1" minValue="110" maxValue="1350"/>
    </cacheField>
    <cacheField name="total sales" numFmtId="0">
      <sharedItems containsSemiMixedTypes="0" containsString="0" containsNumber="1" containsInteger="1" minValue="290" maxValue="3950"/>
    </cacheField>
    <cacheField name="aver sales" numFmtId="0">
      <sharedItems containsSemiMixedTypes="0" containsString="0" containsNumber="1" minValue="96.666666666666671" maxValue="1316.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n v="1200"/>
    <n v="1400"/>
    <n v="1350"/>
  </r>
  <r>
    <x v="1"/>
    <x v="0"/>
    <n v="800"/>
    <n v="950"/>
    <n v="1100"/>
  </r>
  <r>
    <x v="2"/>
    <x v="0"/>
    <n v="150"/>
    <n v="200"/>
    <n v="250"/>
  </r>
  <r>
    <x v="3"/>
    <x v="1"/>
    <n v="350"/>
    <n v="300"/>
    <n v="400"/>
  </r>
  <r>
    <x v="4"/>
    <x v="2"/>
    <n v="120"/>
    <n v="140"/>
    <n v="160"/>
  </r>
  <r>
    <x v="5"/>
    <x v="2"/>
    <n v="80"/>
    <n v="100"/>
    <n v="110"/>
  </r>
  <r>
    <x v="6"/>
    <x v="3"/>
    <n v="200"/>
    <n v="250"/>
    <n v="300"/>
  </r>
  <r>
    <x v="7"/>
    <x v="3"/>
    <n v="300"/>
    <n v="350"/>
    <n v="400"/>
  </r>
  <r>
    <x v="8"/>
    <x v="4"/>
    <n v="250"/>
    <n v="280"/>
    <n v="3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1200"/>
    <n v="1400"/>
    <n v="1350"/>
    <n v="3950"/>
    <n v="1316.6666666666667"/>
  </r>
  <r>
    <x v="0"/>
    <n v="800"/>
    <n v="950"/>
    <n v="1100"/>
    <n v="2850"/>
    <n v="950"/>
  </r>
  <r>
    <x v="0"/>
    <n v="150"/>
    <n v="200"/>
    <n v="250"/>
    <n v="600"/>
    <n v="200"/>
  </r>
  <r>
    <x v="1"/>
    <n v="350"/>
    <n v="300"/>
    <n v="400"/>
    <n v="1050"/>
    <n v="350"/>
  </r>
  <r>
    <x v="2"/>
    <n v="120"/>
    <n v="140"/>
    <n v="160"/>
    <n v="420"/>
    <n v="140"/>
  </r>
  <r>
    <x v="2"/>
    <n v="80"/>
    <n v="100"/>
    <n v="110"/>
    <n v="290"/>
    <n v="96.666666666666671"/>
  </r>
  <r>
    <x v="3"/>
    <n v="200"/>
    <n v="250"/>
    <n v="300"/>
    <n v="750"/>
    <n v="250"/>
  </r>
  <r>
    <x v="3"/>
    <n v="300"/>
    <n v="350"/>
    <n v="400"/>
    <n v="1050"/>
    <n v="350"/>
  </r>
  <r>
    <x v="4"/>
    <n v="250"/>
    <n v="280"/>
    <n v="320"/>
    <n v="850"/>
    <n v="283.3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2" firstHeaderRow="1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axis="axisRow" showAll="0">
      <items count="6">
        <item x="2"/>
        <item x="3"/>
        <item x="0"/>
        <item x="4"/>
        <item x="1"/>
        <item t="default"/>
      </items>
    </pivotField>
    <pivotField dataField="1" showAll="0"/>
    <pivotField showAll="0"/>
    <pivotField showAll="0"/>
  </pivotFields>
  <rowFields count="2">
    <field x="0"/>
    <field x="1"/>
  </rowFields>
  <rowItems count="19">
    <i>
      <x/>
    </i>
    <i r="1">
      <x/>
    </i>
    <i>
      <x v="1"/>
    </i>
    <i r="1">
      <x/>
    </i>
    <i>
      <x v="2"/>
    </i>
    <i r="1">
      <x v="4"/>
    </i>
    <i>
      <x v="3"/>
    </i>
    <i r="1">
      <x v="2"/>
    </i>
    <i>
      <x v="4"/>
    </i>
    <i r="1">
      <x v="1"/>
    </i>
    <i>
      <x v="5"/>
    </i>
    <i r="1">
      <x v="2"/>
    </i>
    <i>
      <x v="6"/>
    </i>
    <i r="1">
      <x v="2"/>
    </i>
    <i>
      <x v="7"/>
    </i>
    <i r="1">
      <x v="3"/>
    </i>
    <i>
      <x v="8"/>
    </i>
    <i r="1">
      <x v="1"/>
    </i>
    <i t="grand">
      <x/>
    </i>
  </rowItems>
  <colItems count="1">
    <i/>
  </colItems>
  <dataFields count="1">
    <dataField name="Sum of Jan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:B20" firstHeaderRow="1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axis="axisRow" showAll="0">
      <items count="6">
        <item x="2"/>
        <item x="3"/>
        <item x="0"/>
        <item x="4"/>
        <item x="1"/>
        <item t="default"/>
      </items>
    </pivotField>
    <pivotField dataField="1" showAll="0"/>
    <pivotField showAll="0"/>
    <pivotField showAll="0"/>
  </pivotFields>
  <rowFields count="2">
    <field x="0"/>
    <field x="1"/>
  </rowFields>
  <rowItems count="19">
    <i>
      <x/>
    </i>
    <i r="1">
      <x/>
    </i>
    <i>
      <x v="1"/>
    </i>
    <i r="1">
      <x/>
    </i>
    <i>
      <x v="2"/>
    </i>
    <i r="1">
      <x v="4"/>
    </i>
    <i>
      <x v="3"/>
    </i>
    <i r="1">
      <x v="2"/>
    </i>
    <i>
      <x v="4"/>
    </i>
    <i r="1">
      <x v="1"/>
    </i>
    <i>
      <x v="5"/>
    </i>
    <i r="1">
      <x v="2"/>
    </i>
    <i>
      <x v="6"/>
    </i>
    <i r="1">
      <x v="2"/>
    </i>
    <i>
      <x v="7"/>
    </i>
    <i r="1">
      <x v="3"/>
    </i>
    <i>
      <x v="8"/>
    </i>
    <i r="1">
      <x v="1"/>
    </i>
    <i t="grand">
      <x/>
    </i>
  </rowItems>
  <colItems count="1">
    <i/>
  </colItems>
  <dataFields count="1">
    <dataField name="Sum of Jan Sal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>
  <location ref="A1:D7" firstHeaderRow="0" firstDataRow="1" firstDataCol="1"/>
  <pivotFields count="5"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:C11" firstHeaderRow="0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b Sales" fld="3" baseField="0" baseItem="0"/>
    <dataField name="Sum of Mar Sales" fld="4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J2:M12" firstHeaderRow="0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eb Sales" fld="3" baseField="0" baseItem="0"/>
    <dataField name="Sum of Mar Sales" fld="4" baseField="0" baseItem="0"/>
    <dataField name="Sum of Jan Sales" fld="2" baseField="0" baseItem="0"/>
  </dataFields>
  <chartFormats count="6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:D11" firstHeaderRow="0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:C6" firstHeaderRow="0" firstDataRow="1" firstDataCol="1"/>
  <pivotFields count="5">
    <pivotField showAll="0"/>
    <pivotField axis="axisRow" showAll="0">
      <items count="6">
        <item x="2"/>
        <item x="3"/>
        <item x="0"/>
        <item h="1" x="4"/>
        <item x="1"/>
        <item t="default"/>
      </items>
    </pivotField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b Sales" fld="3" baseField="0" baseItem="0"/>
    <dataField name="Sum of Jan Sal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:C7" firstHeaderRow="0" firstDataRow="1" firstDataCol="1"/>
  <pivotFields count="6"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4" baseField="0" baseItem="0"/>
    <dataField name="Sum of aver sales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64:D74" firstHeaderRow="0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46:D56" firstHeaderRow="0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eb Sales" fld="3" baseField="0" baseItem="0"/>
    <dataField name="Sum of Mar Sales" fld="4" baseField="0" baseItem="0"/>
    <dataField name="Sum of Jan Sales" fld="2" baseField="0" baseItem="0"/>
  </dataFields>
  <formats count="3">
    <format dxfId="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">
      <pivotArea grandRow="1" outline="0" collapsedLevelsAreSubtotals="1" fieldPosition="0"/>
    </format>
  </formats>
  <chartFormats count="6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8:D24" firstHeaderRow="0" firstDataRow="1" firstDataCol="1"/>
  <pivotFields count="5"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10" totalsRowShown="0">
  <autoFilter ref="A1:I10"/>
  <tableColumns count="9">
    <tableColumn id="1" name="Merchnd Item" dataDxfId="19"/>
    <tableColumn id="2" name="Category" dataDxfId="18"/>
    <tableColumn id="3" name="Jan Sales" dataDxfId="17"/>
    <tableColumn id="4" name="Feb Sales" dataDxfId="16"/>
    <tableColumn id="5" name="Mar Sales" dataDxfId="15"/>
    <tableColumn id="6" name="Sum of monthly Sales" dataDxfId="14">
      <calculatedColumnFormula>SUM(C2:E2)</calculatedColumnFormula>
    </tableColumn>
    <tableColumn id="7" name="Best Sales w.r.t. Item" dataDxfId="13" dataCellStyle="Currency">
      <calculatedColumnFormula>MAX(C2:E2)</calculatedColumnFormula>
    </tableColumn>
    <tableColumn id="8" name="Colum for the best $#">
      <calculatedColumnFormula>MATCH(G2,C2:E2, 0)</calculatedColumnFormula>
    </tableColumn>
    <tableColumn id="9" name="Best Month" dataDxfId="12">
      <calculatedColumnFormula>IF(H2=1,"Janu",IF(H2=2,"Febr","Mar"))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4:G13" totalsRowShown="0" headerRowDxfId="25" dataDxfId="24">
  <autoFilter ref="C4:G13"/>
  <tableColumns count="5">
    <tableColumn id="1" name="Category" dataDxfId="23"/>
    <tableColumn id="2" name="Jan Sales" dataDxfId="22" dataCellStyle="Currency"/>
    <tableColumn id="3" name="Feb Sales" dataDxfId="21" dataCellStyle="Currency"/>
    <tableColumn id="4" name="Mar Sales" dataDxfId="20" dataCellStyle="Currency"/>
    <tableColumn id="5" name="total sales" dataCellStyle="Currency">
      <calculatedColumnFormula>SUM(D5:F5)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A3:I12" totalsRowShown="0">
  <autoFilter ref="A3:I12"/>
  <tableColumns count="9">
    <tableColumn id="1" name="Merchnd Item" dataDxfId="11"/>
    <tableColumn id="2" name="Category" dataDxfId="10"/>
    <tableColumn id="3" name="Jan Sales" dataDxfId="9"/>
    <tableColumn id="4" name="Feb Sales" dataDxfId="8"/>
    <tableColumn id="5" name="Mar Sales" dataDxfId="7"/>
    <tableColumn id="6" name="Sum of monthly Sales" dataDxfId="6">
      <calculatedColumnFormula>SUM(C4:E4)</calculatedColumnFormula>
    </tableColumn>
    <tableColumn id="7" name="Best Sales w.r.t. Item" dataDxfId="5" dataCellStyle="Currency">
      <calculatedColumnFormula>MAX(C4:E4)</calculatedColumnFormula>
    </tableColumn>
    <tableColumn id="8" name="Colum for the best $#">
      <calculatedColumnFormula>MATCH(G4,C4:E4, 0)</calculatedColumnFormula>
    </tableColumn>
    <tableColumn id="9" name="Best Month" dataDxfId="4">
      <calculatedColumnFormula>IF(H4=1,"Janu",IF(H4=2,"Febr","Mar"))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table" Target="../tables/table3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workbookViewId="0">
      <selection activeCell="E5" sqref="E5"/>
    </sheetView>
  </sheetViews>
  <sheetFormatPr defaultRowHeight="15"/>
  <cols>
    <col min="1" max="1" width="15.140625" bestFit="1" customWidth="1"/>
    <col min="2" max="2" width="15.5703125" bestFit="1" customWidth="1"/>
  </cols>
  <sheetData>
    <row r="3" spans="1:2">
      <c r="A3" s="3" t="s">
        <v>19</v>
      </c>
      <c r="B3" t="s">
        <v>21</v>
      </c>
    </row>
    <row r="4" spans="1:2">
      <c r="A4" s="4" t="s">
        <v>12</v>
      </c>
      <c r="B4" s="6">
        <v>80</v>
      </c>
    </row>
    <row r="5" spans="1:2">
      <c r="A5" s="5" t="s">
        <v>11</v>
      </c>
      <c r="B5" s="6">
        <v>80</v>
      </c>
    </row>
    <row r="6" spans="1:2">
      <c r="A6" s="4" t="s">
        <v>10</v>
      </c>
      <c r="B6" s="6">
        <v>120</v>
      </c>
    </row>
    <row r="7" spans="1:2">
      <c r="A7" s="5" t="s">
        <v>11</v>
      </c>
      <c r="B7" s="6">
        <v>120</v>
      </c>
    </row>
    <row r="8" spans="1:2">
      <c r="A8" s="4" t="s">
        <v>8</v>
      </c>
      <c r="B8" s="6">
        <v>350</v>
      </c>
    </row>
    <row r="9" spans="1:2">
      <c r="A9" s="5" t="s">
        <v>9</v>
      </c>
      <c r="B9" s="6">
        <v>350</v>
      </c>
    </row>
    <row r="10" spans="1:2">
      <c r="A10" s="4" t="s">
        <v>7</v>
      </c>
      <c r="B10" s="6">
        <v>150</v>
      </c>
    </row>
    <row r="11" spans="1:2">
      <c r="A11" s="5" t="s">
        <v>5</v>
      </c>
      <c r="B11" s="6">
        <v>150</v>
      </c>
    </row>
    <row r="12" spans="1:2">
      <c r="A12" s="4" t="s">
        <v>15</v>
      </c>
      <c r="B12" s="6">
        <v>300</v>
      </c>
    </row>
    <row r="13" spans="1:2">
      <c r="A13" s="5" t="s">
        <v>14</v>
      </c>
      <c r="B13" s="6">
        <v>300</v>
      </c>
    </row>
    <row r="14" spans="1:2">
      <c r="A14" s="4" t="s">
        <v>4</v>
      </c>
      <c r="B14" s="6">
        <v>1200</v>
      </c>
    </row>
    <row r="15" spans="1:2">
      <c r="A15" s="5" t="s">
        <v>5</v>
      </c>
      <c r="B15" s="6">
        <v>1200</v>
      </c>
    </row>
    <row r="16" spans="1:2">
      <c r="A16" s="4" t="s">
        <v>6</v>
      </c>
      <c r="B16" s="6">
        <v>800</v>
      </c>
    </row>
    <row r="17" spans="1:2">
      <c r="A17" s="5" t="s">
        <v>5</v>
      </c>
      <c r="B17" s="6">
        <v>800</v>
      </c>
    </row>
    <row r="18" spans="1:2">
      <c r="A18" s="4" t="s">
        <v>16</v>
      </c>
      <c r="B18" s="6">
        <v>250</v>
      </c>
    </row>
    <row r="19" spans="1:2">
      <c r="A19" s="5" t="s">
        <v>17</v>
      </c>
      <c r="B19" s="6">
        <v>250</v>
      </c>
    </row>
    <row r="20" spans="1:2">
      <c r="A20" s="4" t="s">
        <v>13</v>
      </c>
      <c r="B20" s="6">
        <v>200</v>
      </c>
    </row>
    <row r="21" spans="1:2">
      <c r="A21" s="5" t="s">
        <v>14</v>
      </c>
      <c r="B21" s="6">
        <v>200</v>
      </c>
    </row>
    <row r="22" spans="1:2">
      <c r="A22" s="4" t="s">
        <v>20</v>
      </c>
      <c r="B22" s="6">
        <v>3450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8" workbookViewId="0">
      <selection activeCell="M21" sqref="M21"/>
    </sheetView>
  </sheetViews>
  <sheetFormatPr defaultRowHeight="15"/>
  <cols>
    <col min="1" max="1" width="15.140625" bestFit="1" customWidth="1"/>
    <col min="2" max="2" width="15.5703125" bestFit="1" customWidth="1"/>
  </cols>
  <sheetData>
    <row r="1" spans="1:2">
      <c r="A1" s="3" t="s">
        <v>19</v>
      </c>
      <c r="B1" t="s">
        <v>21</v>
      </c>
    </row>
    <row r="2" spans="1:2">
      <c r="A2" s="4" t="s">
        <v>12</v>
      </c>
      <c r="B2" s="6">
        <v>80</v>
      </c>
    </row>
    <row r="3" spans="1:2">
      <c r="A3" s="5" t="s">
        <v>11</v>
      </c>
      <c r="B3" s="6">
        <v>80</v>
      </c>
    </row>
    <row r="4" spans="1:2">
      <c r="A4" s="4" t="s">
        <v>10</v>
      </c>
      <c r="B4" s="6">
        <v>120</v>
      </c>
    </row>
    <row r="5" spans="1:2">
      <c r="A5" s="5" t="s">
        <v>11</v>
      </c>
      <c r="B5" s="6">
        <v>120</v>
      </c>
    </row>
    <row r="6" spans="1:2">
      <c r="A6" s="4" t="s">
        <v>8</v>
      </c>
      <c r="B6" s="6">
        <v>350</v>
      </c>
    </row>
    <row r="7" spans="1:2">
      <c r="A7" s="5" t="s">
        <v>9</v>
      </c>
      <c r="B7" s="6">
        <v>350</v>
      </c>
    </row>
    <row r="8" spans="1:2">
      <c r="A8" s="4" t="s">
        <v>7</v>
      </c>
      <c r="B8" s="6">
        <v>150</v>
      </c>
    </row>
    <row r="9" spans="1:2">
      <c r="A9" s="5" t="s">
        <v>5</v>
      </c>
      <c r="B9" s="6">
        <v>150</v>
      </c>
    </row>
    <row r="10" spans="1:2">
      <c r="A10" s="4" t="s">
        <v>15</v>
      </c>
      <c r="B10" s="6">
        <v>300</v>
      </c>
    </row>
    <row r="11" spans="1:2">
      <c r="A11" s="5" t="s">
        <v>14</v>
      </c>
      <c r="B11" s="6">
        <v>300</v>
      </c>
    </row>
    <row r="12" spans="1:2">
      <c r="A12" s="4" t="s">
        <v>4</v>
      </c>
      <c r="B12" s="6">
        <v>1200</v>
      </c>
    </row>
    <row r="13" spans="1:2">
      <c r="A13" s="5" t="s">
        <v>5</v>
      </c>
      <c r="B13" s="6">
        <v>1200</v>
      </c>
    </row>
    <row r="14" spans="1:2">
      <c r="A14" s="4" t="s">
        <v>6</v>
      </c>
      <c r="B14" s="6">
        <v>800</v>
      </c>
    </row>
    <row r="15" spans="1:2">
      <c r="A15" s="5" t="s">
        <v>5</v>
      </c>
      <c r="B15" s="6">
        <v>800</v>
      </c>
    </row>
    <row r="16" spans="1:2">
      <c r="A16" s="4" t="s">
        <v>16</v>
      </c>
      <c r="B16" s="6">
        <v>250</v>
      </c>
    </row>
    <row r="17" spans="1:2">
      <c r="A17" s="5" t="s">
        <v>17</v>
      </c>
      <c r="B17" s="6">
        <v>250</v>
      </c>
    </row>
    <row r="18" spans="1:2">
      <c r="A18" s="4" t="s">
        <v>13</v>
      </c>
      <c r="B18" s="6">
        <v>200</v>
      </c>
    </row>
    <row r="19" spans="1:2">
      <c r="A19" s="5" t="s">
        <v>14</v>
      </c>
      <c r="B19" s="6">
        <v>200</v>
      </c>
    </row>
    <row r="20" spans="1:2">
      <c r="A20" s="4" t="s">
        <v>20</v>
      </c>
      <c r="B20" s="6">
        <v>3450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A7" workbookViewId="0">
      <selection activeCell="B15" sqref="B15"/>
    </sheetView>
  </sheetViews>
  <sheetFormatPr defaultRowHeight="15"/>
  <cols>
    <col min="1" max="1" width="13.140625" bestFit="1" customWidth="1"/>
    <col min="2" max="2" width="15.5703125" bestFit="1" customWidth="1"/>
    <col min="3" max="3" width="16" bestFit="1" customWidth="1"/>
    <col min="4" max="4" width="16.28515625" bestFit="1" customWidth="1"/>
  </cols>
  <sheetData>
    <row r="1" spans="1:4">
      <c r="A1" s="3" t="s">
        <v>19</v>
      </c>
      <c r="B1" t="s">
        <v>21</v>
      </c>
      <c r="C1" t="s">
        <v>22</v>
      </c>
      <c r="D1" t="s">
        <v>23</v>
      </c>
    </row>
    <row r="2" spans="1:4">
      <c r="A2" s="4" t="s">
        <v>11</v>
      </c>
      <c r="B2" s="6">
        <v>200</v>
      </c>
      <c r="C2" s="6">
        <v>240</v>
      </c>
      <c r="D2" s="6">
        <v>270</v>
      </c>
    </row>
    <row r="3" spans="1:4">
      <c r="A3" s="4" t="s">
        <v>14</v>
      </c>
      <c r="B3" s="6">
        <v>500</v>
      </c>
      <c r="C3" s="6">
        <v>600</v>
      </c>
      <c r="D3" s="6">
        <v>700</v>
      </c>
    </row>
    <row r="4" spans="1:4">
      <c r="A4" s="4" t="s">
        <v>5</v>
      </c>
      <c r="B4" s="6">
        <v>2150</v>
      </c>
      <c r="C4" s="6">
        <v>2550</v>
      </c>
      <c r="D4" s="6">
        <v>2700</v>
      </c>
    </row>
    <row r="5" spans="1:4">
      <c r="A5" s="4" t="s">
        <v>17</v>
      </c>
      <c r="B5" s="6">
        <v>250</v>
      </c>
      <c r="C5" s="6">
        <v>280</v>
      </c>
      <c r="D5" s="6">
        <v>320</v>
      </c>
    </row>
    <row r="6" spans="1:4">
      <c r="A6" s="4" t="s">
        <v>9</v>
      </c>
      <c r="B6" s="6">
        <v>350</v>
      </c>
      <c r="C6" s="6">
        <v>300</v>
      </c>
      <c r="D6" s="6">
        <v>400</v>
      </c>
    </row>
    <row r="7" spans="1:4">
      <c r="A7" s="4" t="s">
        <v>20</v>
      </c>
      <c r="B7" s="6">
        <v>3450</v>
      </c>
      <c r="C7" s="6">
        <v>3970</v>
      </c>
      <c r="D7" s="6">
        <v>4390</v>
      </c>
    </row>
    <row r="14" spans="1:4">
      <c r="B14" t="s">
        <v>72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opLeftCell="C4" workbookViewId="0">
      <selection activeCell="C18" sqref="C18"/>
    </sheetView>
  </sheetViews>
  <sheetFormatPr defaultRowHeight="15"/>
  <cols>
    <col min="1" max="1" width="13.140625" bestFit="1" customWidth="1"/>
    <col min="2" max="2" width="16" customWidth="1"/>
    <col min="3" max="3" width="16.28515625" customWidth="1"/>
    <col min="4" max="4" width="15.5703125" customWidth="1"/>
  </cols>
  <sheetData>
    <row r="1" spans="1:3">
      <c r="A1" s="3" t="s">
        <v>19</v>
      </c>
      <c r="B1" t="s">
        <v>22</v>
      </c>
      <c r="C1" t="s">
        <v>23</v>
      </c>
    </row>
    <row r="2" spans="1:3">
      <c r="A2" s="4" t="s">
        <v>12</v>
      </c>
      <c r="B2" s="6">
        <v>100</v>
      </c>
      <c r="C2" s="6">
        <v>110</v>
      </c>
    </row>
    <row r="3" spans="1:3">
      <c r="A3" s="4" t="s">
        <v>10</v>
      </c>
      <c r="B3" s="6">
        <v>140</v>
      </c>
      <c r="C3" s="6">
        <v>160</v>
      </c>
    </row>
    <row r="4" spans="1:3">
      <c r="A4" s="4" t="s">
        <v>8</v>
      </c>
      <c r="B4" s="6">
        <v>300</v>
      </c>
      <c r="C4" s="6">
        <v>400</v>
      </c>
    </row>
    <row r="5" spans="1:3">
      <c r="A5" s="4" t="s">
        <v>7</v>
      </c>
      <c r="B5" s="6">
        <v>200</v>
      </c>
      <c r="C5" s="6">
        <v>250</v>
      </c>
    </row>
    <row r="6" spans="1:3">
      <c r="A6" s="4" t="s">
        <v>15</v>
      </c>
      <c r="B6" s="6">
        <v>350</v>
      </c>
      <c r="C6" s="6">
        <v>400</v>
      </c>
    </row>
    <row r="7" spans="1:3">
      <c r="A7" s="4" t="s">
        <v>4</v>
      </c>
      <c r="B7" s="6">
        <v>1400</v>
      </c>
      <c r="C7" s="6">
        <v>1350</v>
      </c>
    </row>
    <row r="8" spans="1:3">
      <c r="A8" s="4" t="s">
        <v>6</v>
      </c>
      <c r="B8" s="6">
        <v>950</v>
      </c>
      <c r="C8" s="6">
        <v>1100</v>
      </c>
    </row>
    <row r="9" spans="1:3">
      <c r="A9" s="4" t="s">
        <v>16</v>
      </c>
      <c r="B9" s="6">
        <v>280</v>
      </c>
      <c r="C9" s="6">
        <v>320</v>
      </c>
    </row>
    <row r="10" spans="1:3">
      <c r="A10" s="4" t="s">
        <v>13</v>
      </c>
      <c r="B10" s="6">
        <v>250</v>
      </c>
      <c r="C10" s="6">
        <v>300</v>
      </c>
    </row>
    <row r="11" spans="1:3">
      <c r="A11" s="4" t="s">
        <v>20</v>
      </c>
      <c r="B11" s="6">
        <v>3970</v>
      </c>
      <c r="C11" s="6">
        <v>4390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C16" sqref="C16"/>
    </sheetView>
  </sheetViews>
  <sheetFormatPr defaultRowHeight="15"/>
  <cols>
    <col min="1" max="1" width="13.140625" bestFit="1" customWidth="1"/>
    <col min="2" max="2" width="15.5703125" bestFit="1" customWidth="1"/>
    <col min="3" max="3" width="16" bestFit="1" customWidth="1"/>
    <col min="4" max="4" width="16.28515625" bestFit="1" customWidth="1"/>
    <col min="5" max="5" width="13" customWidth="1"/>
  </cols>
  <sheetData>
    <row r="1" spans="1:15">
      <c r="A1" s="3" t="s">
        <v>19</v>
      </c>
      <c r="B1" t="s">
        <v>21</v>
      </c>
      <c r="C1" t="s">
        <v>22</v>
      </c>
      <c r="D1" t="s">
        <v>23</v>
      </c>
      <c r="E1" t="s">
        <v>25</v>
      </c>
      <c r="O1" t="s">
        <v>74</v>
      </c>
    </row>
    <row r="2" spans="1:15">
      <c r="A2" s="4" t="s">
        <v>12</v>
      </c>
      <c r="B2" s="6">
        <v>80</v>
      </c>
      <c r="C2" s="6">
        <v>100</v>
      </c>
      <c r="D2" s="6">
        <v>110</v>
      </c>
      <c r="E2">
        <f>SUM(B2:D2)</f>
        <v>290</v>
      </c>
      <c r="J2" s="3" t="s">
        <v>19</v>
      </c>
      <c r="K2" s="3" t="s">
        <v>22</v>
      </c>
      <c r="L2" t="s">
        <v>23</v>
      </c>
      <c r="M2" t="s">
        <v>21</v>
      </c>
    </row>
    <row r="3" spans="1:15">
      <c r="A3" s="4" t="s">
        <v>10</v>
      </c>
      <c r="B3" s="6">
        <v>120</v>
      </c>
      <c r="C3" s="6">
        <v>140</v>
      </c>
      <c r="D3" s="6">
        <v>160</v>
      </c>
      <c r="E3">
        <f t="shared" ref="E3:E10" si="0">SUM(B3:D3)</f>
        <v>420</v>
      </c>
      <c r="J3" s="4" t="s">
        <v>12</v>
      </c>
      <c r="K3" s="6">
        <v>100</v>
      </c>
      <c r="L3" s="6">
        <v>110</v>
      </c>
      <c r="M3" s="6">
        <v>80</v>
      </c>
    </row>
    <row r="4" spans="1:15">
      <c r="A4" s="4" t="s">
        <v>8</v>
      </c>
      <c r="B4" s="6">
        <v>350</v>
      </c>
      <c r="C4" s="6">
        <v>300</v>
      </c>
      <c r="D4" s="6">
        <v>400</v>
      </c>
      <c r="E4">
        <f t="shared" si="0"/>
        <v>1050</v>
      </c>
      <c r="J4" s="4" t="s">
        <v>10</v>
      </c>
      <c r="K4" s="6">
        <v>140</v>
      </c>
      <c r="L4" s="6">
        <v>160</v>
      </c>
      <c r="M4" s="6">
        <v>120</v>
      </c>
    </row>
    <row r="5" spans="1:15">
      <c r="A5" s="4" t="s">
        <v>7</v>
      </c>
      <c r="B5" s="6">
        <v>150</v>
      </c>
      <c r="C5" s="6">
        <v>200</v>
      </c>
      <c r="D5" s="6">
        <v>250</v>
      </c>
      <c r="E5">
        <f t="shared" si="0"/>
        <v>600</v>
      </c>
      <c r="J5" s="4" t="s">
        <v>8</v>
      </c>
      <c r="K5" s="6">
        <v>300</v>
      </c>
      <c r="L5" s="6">
        <v>400</v>
      </c>
      <c r="M5" s="6">
        <v>350</v>
      </c>
    </row>
    <row r="6" spans="1:15">
      <c r="A6" s="4" t="s">
        <v>15</v>
      </c>
      <c r="B6" s="6">
        <v>300</v>
      </c>
      <c r="C6" s="6">
        <v>350</v>
      </c>
      <c r="D6" s="6">
        <v>400</v>
      </c>
      <c r="E6">
        <f t="shared" si="0"/>
        <v>1050</v>
      </c>
      <c r="J6" s="4" t="s">
        <v>7</v>
      </c>
      <c r="K6" s="6">
        <v>200</v>
      </c>
      <c r="L6" s="6">
        <v>250</v>
      </c>
      <c r="M6" s="6">
        <v>150</v>
      </c>
    </row>
    <row r="7" spans="1:15">
      <c r="A7" s="4" t="s">
        <v>4</v>
      </c>
      <c r="B7" s="6">
        <v>1200</v>
      </c>
      <c r="C7" s="6">
        <v>1400</v>
      </c>
      <c r="D7" s="6">
        <v>1350</v>
      </c>
      <c r="E7">
        <f t="shared" si="0"/>
        <v>3950</v>
      </c>
      <c r="J7" s="4" t="s">
        <v>15</v>
      </c>
      <c r="K7" s="6">
        <v>350</v>
      </c>
      <c r="L7" s="6">
        <v>400</v>
      </c>
      <c r="M7" s="6">
        <v>300</v>
      </c>
    </row>
    <row r="8" spans="1:15">
      <c r="A8" s="4" t="s">
        <v>6</v>
      </c>
      <c r="B8" s="6">
        <v>800</v>
      </c>
      <c r="C8" s="6">
        <v>950</v>
      </c>
      <c r="D8" s="6">
        <v>1100</v>
      </c>
      <c r="E8">
        <f t="shared" si="0"/>
        <v>2850</v>
      </c>
      <c r="J8" s="4" t="s">
        <v>4</v>
      </c>
      <c r="K8" s="6">
        <v>1400</v>
      </c>
      <c r="L8" s="6">
        <v>1350</v>
      </c>
      <c r="M8" s="6">
        <v>1200</v>
      </c>
    </row>
    <row r="9" spans="1:15">
      <c r="A9" s="4" t="s">
        <v>16</v>
      </c>
      <c r="B9" s="6">
        <v>250</v>
      </c>
      <c r="C9" s="6">
        <v>280</v>
      </c>
      <c r="D9" s="6">
        <v>320</v>
      </c>
      <c r="E9">
        <f t="shared" si="0"/>
        <v>850</v>
      </c>
      <c r="J9" s="4" t="s">
        <v>6</v>
      </c>
      <c r="K9" s="6">
        <v>950</v>
      </c>
      <c r="L9" s="6">
        <v>1100</v>
      </c>
      <c r="M9" s="6">
        <v>800</v>
      </c>
    </row>
    <row r="10" spans="1:15">
      <c r="A10" s="4" t="s">
        <v>13</v>
      </c>
      <c r="B10" s="6">
        <v>200</v>
      </c>
      <c r="C10" s="6">
        <v>250</v>
      </c>
      <c r="D10" s="6">
        <v>300</v>
      </c>
      <c r="E10">
        <f t="shared" si="0"/>
        <v>750</v>
      </c>
      <c r="J10" s="4" t="s">
        <v>16</v>
      </c>
      <c r="K10" s="6">
        <v>280</v>
      </c>
      <c r="L10" s="6">
        <v>320</v>
      </c>
      <c r="M10" s="6">
        <v>250</v>
      </c>
    </row>
    <row r="11" spans="1:15">
      <c r="A11" s="4" t="s">
        <v>20</v>
      </c>
      <c r="B11" s="6">
        <v>3450</v>
      </c>
      <c r="C11" s="6">
        <v>3970</v>
      </c>
      <c r="D11" s="6">
        <v>4390</v>
      </c>
      <c r="J11" s="4" t="s">
        <v>13</v>
      </c>
      <c r="K11" s="6">
        <v>250</v>
      </c>
      <c r="L11" s="6">
        <v>300</v>
      </c>
      <c r="M11" s="6">
        <v>200</v>
      </c>
    </row>
    <row r="12" spans="1:15">
      <c r="J12" s="4" t="s">
        <v>20</v>
      </c>
      <c r="K12" s="6">
        <v>3970</v>
      </c>
      <c r="L12" s="6">
        <v>4390</v>
      </c>
      <c r="M12" s="6">
        <v>3450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16" sqref="A16"/>
    </sheetView>
  </sheetViews>
  <sheetFormatPr defaultRowHeight="15"/>
  <cols>
    <col min="1" max="1" width="13.140625" bestFit="1" customWidth="1"/>
    <col min="2" max="2" width="16" bestFit="1" customWidth="1"/>
    <col min="3" max="3" width="15.5703125" bestFit="1" customWidth="1"/>
  </cols>
  <sheetData>
    <row r="1" spans="1:3">
      <c r="A1" s="3" t="s">
        <v>19</v>
      </c>
      <c r="B1" t="s">
        <v>22</v>
      </c>
      <c r="C1" t="s">
        <v>21</v>
      </c>
    </row>
    <row r="2" spans="1:3">
      <c r="A2" s="4" t="s">
        <v>11</v>
      </c>
      <c r="B2" s="6">
        <v>240</v>
      </c>
      <c r="C2" s="6">
        <v>200</v>
      </c>
    </row>
    <row r="3" spans="1:3">
      <c r="A3" s="4" t="s">
        <v>14</v>
      </c>
      <c r="B3" s="6">
        <v>600</v>
      </c>
      <c r="C3" s="6">
        <v>500</v>
      </c>
    </row>
    <row r="4" spans="1:3">
      <c r="A4" s="4" t="s">
        <v>5</v>
      </c>
      <c r="B4" s="6">
        <v>2550</v>
      </c>
      <c r="C4" s="6">
        <v>2150</v>
      </c>
    </row>
    <row r="5" spans="1:3">
      <c r="A5" s="4" t="s">
        <v>9</v>
      </c>
      <c r="B5" s="6">
        <v>300</v>
      </c>
      <c r="C5" s="6">
        <v>350</v>
      </c>
    </row>
    <row r="6" spans="1:3">
      <c r="A6" s="4" t="s">
        <v>20</v>
      </c>
      <c r="B6" s="6">
        <v>3690</v>
      </c>
      <c r="C6" s="6">
        <v>3200</v>
      </c>
    </row>
    <row r="15" spans="1:3">
      <c r="A15" t="s">
        <v>93</v>
      </c>
    </row>
    <row r="17" spans="2:2">
      <c r="B17" t="s">
        <v>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3.140625" bestFit="1" customWidth="1"/>
    <col min="2" max="2" width="16.7109375" bestFit="1" customWidth="1"/>
    <col min="3" max="3" width="16.42578125" bestFit="1" customWidth="1"/>
  </cols>
  <sheetData>
    <row r="1" spans="1:3">
      <c r="A1" s="3" t="s">
        <v>19</v>
      </c>
      <c r="B1" t="s">
        <v>28</v>
      </c>
      <c r="C1" t="s">
        <v>29</v>
      </c>
    </row>
    <row r="2" spans="1:3">
      <c r="A2" s="4" t="s">
        <v>11</v>
      </c>
      <c r="B2" s="6">
        <v>710</v>
      </c>
      <c r="C2" s="6">
        <v>236.66666666666669</v>
      </c>
    </row>
    <row r="3" spans="1:3">
      <c r="A3" s="4" t="s">
        <v>14</v>
      </c>
      <c r="B3" s="6">
        <v>1800</v>
      </c>
      <c r="C3" s="6">
        <v>600</v>
      </c>
    </row>
    <row r="4" spans="1:3">
      <c r="A4" s="4" t="s">
        <v>5</v>
      </c>
      <c r="B4" s="6">
        <v>7400</v>
      </c>
      <c r="C4" s="6">
        <v>2466.666666666667</v>
      </c>
    </row>
    <row r="5" spans="1:3">
      <c r="A5" s="4" t="s">
        <v>17</v>
      </c>
      <c r="B5" s="6">
        <v>850</v>
      </c>
      <c r="C5" s="6">
        <v>283.33333333333331</v>
      </c>
    </row>
    <row r="6" spans="1:3">
      <c r="A6" s="4" t="s">
        <v>9</v>
      </c>
      <c r="B6" s="6">
        <v>1050</v>
      </c>
      <c r="C6" s="6">
        <v>350</v>
      </c>
    </row>
    <row r="7" spans="1:3">
      <c r="A7" s="4" t="s">
        <v>20</v>
      </c>
      <c r="B7" s="6">
        <v>11810</v>
      </c>
      <c r="C7" s="6">
        <v>3936.6666666666674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17" workbookViewId="0">
      <selection activeCell="G23" sqref="G23"/>
    </sheetView>
  </sheetViews>
  <sheetFormatPr defaultRowHeight="15"/>
  <cols>
    <col min="1" max="1" width="17" customWidth="1"/>
    <col min="2" max="2" width="12.28515625" customWidth="1"/>
    <col min="3" max="3" width="12.85546875" customWidth="1"/>
    <col min="4" max="5" width="13.140625" customWidth="1"/>
    <col min="6" max="6" width="14.85546875" customWidth="1"/>
    <col min="7" max="7" width="16.5703125" customWidth="1"/>
    <col min="8" max="8" width="9.85546875" customWidth="1"/>
    <col min="9" max="9" width="13.5703125" customWidth="1"/>
  </cols>
  <sheetData>
    <row r="1" spans="1:12" ht="26.25">
      <c r="A1" s="1" t="s">
        <v>18</v>
      </c>
      <c r="B1" s="1" t="s">
        <v>0</v>
      </c>
      <c r="C1" s="2" t="s">
        <v>1</v>
      </c>
      <c r="D1" s="1" t="s">
        <v>2</v>
      </c>
      <c r="E1" s="1" t="s">
        <v>3</v>
      </c>
      <c r="F1" s="15" t="s">
        <v>36</v>
      </c>
      <c r="G1" s="40" t="s">
        <v>41</v>
      </c>
      <c r="H1" s="43" t="s">
        <v>44</v>
      </c>
      <c r="I1" s="41" t="s">
        <v>43</v>
      </c>
      <c r="J1" s="1"/>
      <c r="L1" s="10"/>
    </row>
    <row r="2" spans="1:12">
      <c r="A2" s="1" t="s">
        <v>4</v>
      </c>
      <c r="B2" s="1" t="s">
        <v>5</v>
      </c>
      <c r="C2" s="33">
        <v>1200</v>
      </c>
      <c r="D2" s="42">
        <v>1400</v>
      </c>
      <c r="E2" s="33">
        <v>1350</v>
      </c>
      <c r="F2" s="34">
        <f>SUM(C2:E2)</f>
        <v>3950</v>
      </c>
      <c r="G2" s="35">
        <f>MAX(C2:E2)</f>
        <v>1400</v>
      </c>
      <c r="H2">
        <f>MATCH(G2,C2:E2, 0)</f>
        <v>2</v>
      </c>
      <c r="I2" s="16" t="str">
        <f>IF(H2=1,"Janu",IF(H2=2,"Febr","Mar"))</f>
        <v>Febr</v>
      </c>
      <c r="L2" s="7"/>
    </row>
    <row r="3" spans="1:12">
      <c r="A3" s="1" t="s">
        <v>6</v>
      </c>
      <c r="B3" s="1" t="s">
        <v>5</v>
      </c>
      <c r="C3" s="33">
        <v>800</v>
      </c>
      <c r="D3" s="33">
        <v>950</v>
      </c>
      <c r="E3" s="42">
        <v>1100</v>
      </c>
      <c r="F3" s="34">
        <f t="shared" ref="F3:F10" si="0">SUM(C3:E3)</f>
        <v>2850</v>
      </c>
      <c r="G3" s="35">
        <f t="shared" ref="G3:G10" si="1">MAX(C3:E3)</f>
        <v>1100</v>
      </c>
      <c r="H3">
        <f>MATCH(G3,C3:E3, 0)</f>
        <v>3</v>
      </c>
      <c r="I3" s="16" t="str">
        <f>IF(H3=1,"Janu",IF(H3=2,"Febr","Mar"))</f>
        <v>Mar</v>
      </c>
      <c r="K3" s="44" t="s">
        <v>59</v>
      </c>
      <c r="L3" s="7"/>
    </row>
    <row r="4" spans="1:12">
      <c r="A4" s="1" t="s">
        <v>7</v>
      </c>
      <c r="B4" s="1" t="s">
        <v>5</v>
      </c>
      <c r="C4" s="33">
        <v>150</v>
      </c>
      <c r="D4" s="33">
        <v>200</v>
      </c>
      <c r="E4" s="42">
        <v>250</v>
      </c>
      <c r="F4" s="34">
        <f t="shared" si="0"/>
        <v>600</v>
      </c>
      <c r="G4" s="35">
        <f t="shared" si="1"/>
        <v>250</v>
      </c>
      <c r="H4">
        <f>MATCH(G4,C4:E4, 0)</f>
        <v>3</v>
      </c>
      <c r="I4" s="16" t="str">
        <f t="shared" ref="I4:I9" si="2">IF(H4=1,"Janu",IF(H4=2,"Febr","Mar"))</f>
        <v>Mar</v>
      </c>
      <c r="K4" s="44" t="s">
        <v>60</v>
      </c>
      <c r="L4" s="7"/>
    </row>
    <row r="5" spans="1:12">
      <c r="A5" s="1" t="s">
        <v>8</v>
      </c>
      <c r="B5" s="1" t="s">
        <v>9</v>
      </c>
      <c r="C5" s="33">
        <v>350</v>
      </c>
      <c r="D5" s="33">
        <v>300</v>
      </c>
      <c r="E5" s="42">
        <v>400</v>
      </c>
      <c r="F5" s="34">
        <f t="shared" si="0"/>
        <v>1050</v>
      </c>
      <c r="G5" s="35">
        <f t="shared" si="1"/>
        <v>400</v>
      </c>
      <c r="H5">
        <f>MATCH(G5,C5:E5, 0)</f>
        <v>3</v>
      </c>
      <c r="I5" s="16" t="str">
        <f t="shared" si="2"/>
        <v>Mar</v>
      </c>
      <c r="L5" s="7"/>
    </row>
    <row r="6" spans="1:12">
      <c r="A6" s="1" t="s">
        <v>10</v>
      </c>
      <c r="B6" s="1" t="s">
        <v>11</v>
      </c>
      <c r="C6" s="33">
        <v>120</v>
      </c>
      <c r="D6" s="33">
        <v>140</v>
      </c>
      <c r="E6" s="42">
        <v>160</v>
      </c>
      <c r="F6" s="34">
        <f t="shared" si="0"/>
        <v>420</v>
      </c>
      <c r="G6" s="35">
        <f t="shared" si="1"/>
        <v>160</v>
      </c>
      <c r="H6">
        <f>MATCH(G6,C6:E6, 0)</f>
        <v>3</v>
      </c>
      <c r="I6" s="16" t="str">
        <f t="shared" si="2"/>
        <v>Mar</v>
      </c>
      <c r="L6" s="7"/>
    </row>
    <row r="7" spans="1:12">
      <c r="A7" s="1" t="s">
        <v>12</v>
      </c>
      <c r="B7" s="1" t="s">
        <v>11</v>
      </c>
      <c r="C7" s="33">
        <v>80</v>
      </c>
      <c r="D7" s="33">
        <v>100</v>
      </c>
      <c r="E7" s="42">
        <v>110</v>
      </c>
      <c r="F7" s="34">
        <f t="shared" si="0"/>
        <v>290</v>
      </c>
      <c r="G7" s="35">
        <f t="shared" si="1"/>
        <v>110</v>
      </c>
      <c r="H7">
        <f>MATCH(G7,C7:E7, 0)</f>
        <v>3</v>
      </c>
      <c r="I7" s="16" t="str">
        <f t="shared" si="2"/>
        <v>Mar</v>
      </c>
      <c r="L7" s="7"/>
    </row>
    <row r="8" spans="1:12">
      <c r="A8" s="1" t="s">
        <v>13</v>
      </c>
      <c r="B8" s="1" t="s">
        <v>14</v>
      </c>
      <c r="C8" s="33">
        <v>200</v>
      </c>
      <c r="D8" s="33">
        <v>250</v>
      </c>
      <c r="E8" s="42">
        <v>300</v>
      </c>
      <c r="F8" s="34">
        <f t="shared" si="0"/>
        <v>750</v>
      </c>
      <c r="G8" s="35">
        <f t="shared" si="1"/>
        <v>300</v>
      </c>
      <c r="H8">
        <f>MATCH(G8,C8:E8, 0)</f>
        <v>3</v>
      </c>
      <c r="I8" s="16" t="str">
        <f t="shared" si="2"/>
        <v>Mar</v>
      </c>
      <c r="L8" s="7"/>
    </row>
    <row r="9" spans="1:12">
      <c r="A9" s="1" t="s">
        <v>15</v>
      </c>
      <c r="B9" s="1" t="s">
        <v>14</v>
      </c>
      <c r="C9" s="33">
        <v>300</v>
      </c>
      <c r="D9" s="33">
        <v>350</v>
      </c>
      <c r="E9" s="42">
        <v>400</v>
      </c>
      <c r="F9" s="34">
        <f t="shared" si="0"/>
        <v>1050</v>
      </c>
      <c r="G9" s="35">
        <f t="shared" si="1"/>
        <v>400</v>
      </c>
      <c r="H9">
        <f>MATCH(G9,C9:E9, 0)</f>
        <v>3</v>
      </c>
      <c r="I9" s="16" t="str">
        <f t="shared" si="2"/>
        <v>Mar</v>
      </c>
      <c r="L9" s="7"/>
    </row>
    <row r="10" spans="1:12">
      <c r="A10" s="1" t="s">
        <v>16</v>
      </c>
      <c r="B10" s="1" t="s">
        <v>17</v>
      </c>
      <c r="C10" s="33">
        <v>250</v>
      </c>
      <c r="D10" s="33">
        <v>280</v>
      </c>
      <c r="E10" s="42">
        <f>320-100*0</f>
        <v>320</v>
      </c>
      <c r="F10" s="34">
        <f t="shared" si="0"/>
        <v>850</v>
      </c>
      <c r="G10" s="35">
        <f t="shared" si="1"/>
        <v>320</v>
      </c>
      <c r="H10">
        <f>MATCH(G10,C10:E10, 0)</f>
        <v>3</v>
      </c>
      <c r="I10" s="16" t="str">
        <f>IF(H10=1,"Janu",IF(H10=2,"Febr","Mar"))</f>
        <v>Mar</v>
      </c>
      <c r="L10" s="7"/>
    </row>
    <row r="11" spans="1:12">
      <c r="A11" s="12" t="s">
        <v>38</v>
      </c>
      <c r="B11" s="1"/>
      <c r="C11" s="1"/>
      <c r="D11" s="1"/>
      <c r="E11" s="1" t="s">
        <v>39</v>
      </c>
      <c r="F11" s="13">
        <f>SUM(F2:F10)</f>
        <v>11810</v>
      </c>
      <c r="G11" s="9" t="s">
        <v>61</v>
      </c>
      <c r="L11" s="7"/>
    </row>
    <row r="12" spans="1:12">
      <c r="F12" s="14" t="s">
        <v>37</v>
      </c>
    </row>
    <row r="13" spans="1:12">
      <c r="F13" s="17" t="s">
        <v>40</v>
      </c>
      <c r="K13" t="s">
        <v>42</v>
      </c>
    </row>
    <row r="14" spans="1:12">
      <c r="D14" s="19" t="s">
        <v>55</v>
      </c>
      <c r="E14" s="20"/>
      <c r="F14" s="21"/>
      <c r="G14" s="20"/>
      <c r="H14" s="22"/>
    </row>
    <row r="15" spans="1:12" ht="48.75">
      <c r="D15" s="23" t="s">
        <v>45</v>
      </c>
      <c r="E15" s="24" t="s">
        <v>46</v>
      </c>
      <c r="F15" s="25" t="s">
        <v>47</v>
      </c>
      <c r="G15" s="36">
        <f>SUM(F2:F10)</f>
        <v>11810</v>
      </c>
      <c r="H15" s="26" t="s">
        <v>49</v>
      </c>
    </row>
    <row r="16" spans="1:12" ht="30" customHeight="1">
      <c r="D16" s="23" t="s">
        <v>45</v>
      </c>
      <c r="E16" s="24" t="s">
        <v>46</v>
      </c>
      <c r="F16" s="27" t="s">
        <v>48</v>
      </c>
      <c r="G16" s="36">
        <f>AVERAGE($C$2:$E$10)</f>
        <v>437.40740740740739</v>
      </c>
      <c r="H16" s="26" t="s">
        <v>50</v>
      </c>
    </row>
    <row r="17" spans="1:8">
      <c r="D17" s="23" t="s">
        <v>45</v>
      </c>
      <c r="E17" s="24" t="s">
        <v>46</v>
      </c>
      <c r="F17" s="28" t="s">
        <v>51</v>
      </c>
      <c r="G17" s="36">
        <f>MAX($C$2:$E$10)</f>
        <v>1400</v>
      </c>
      <c r="H17" s="26" t="s">
        <v>53</v>
      </c>
    </row>
    <row r="18" spans="1:8" ht="29.25" customHeight="1">
      <c r="D18" s="29" t="s">
        <v>45</v>
      </c>
      <c r="E18" s="30" t="s">
        <v>46</v>
      </c>
      <c r="F18" s="31" t="s">
        <v>52</v>
      </c>
      <c r="G18" s="37">
        <f>MIN($C$2:$E$10)</f>
        <v>80</v>
      </c>
      <c r="H18" s="32" t="s">
        <v>54</v>
      </c>
    </row>
    <row r="19" spans="1:8" ht="18" customHeight="1">
      <c r="E19" s="8"/>
      <c r="F19" s="18"/>
      <c r="G19" s="8"/>
      <c r="H19" s="9"/>
    </row>
    <row r="20" spans="1:8">
      <c r="A20" s="1" t="s">
        <v>32</v>
      </c>
      <c r="B20" t="s">
        <v>56</v>
      </c>
    </row>
    <row r="21" spans="1:8" ht="18.75">
      <c r="A21" s="1" t="s">
        <v>33</v>
      </c>
      <c r="B21" t="s">
        <v>34</v>
      </c>
      <c r="G21" s="11" t="s">
        <v>35</v>
      </c>
    </row>
    <row r="22" spans="1:8">
      <c r="A22" s="1" t="s">
        <v>32</v>
      </c>
      <c r="B22" t="s">
        <v>62</v>
      </c>
      <c r="G22" t="s">
        <v>95</v>
      </c>
    </row>
    <row r="23" spans="1:8">
      <c r="A23" s="1" t="s">
        <v>32</v>
      </c>
      <c r="B23" s="55" t="s">
        <v>94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7"/>
  <sheetViews>
    <sheetView topLeftCell="A3" workbookViewId="0">
      <selection activeCell="H16" sqref="H16"/>
    </sheetView>
  </sheetViews>
  <sheetFormatPr defaultRowHeight="15"/>
  <cols>
    <col min="3" max="3" width="12.28515625" customWidth="1"/>
    <col min="4" max="4" width="12.85546875" customWidth="1"/>
    <col min="5" max="6" width="13.140625" customWidth="1"/>
    <col min="7" max="7" width="13.42578125" customWidth="1"/>
  </cols>
  <sheetData>
    <row r="3" spans="3:10">
      <c r="J3" t="s">
        <v>30</v>
      </c>
    </row>
    <row r="4" spans="3:10">
      <c r="C4" s="1" t="s">
        <v>0</v>
      </c>
      <c r="D4" s="2" t="s">
        <v>1</v>
      </c>
      <c r="E4" s="1" t="s">
        <v>2</v>
      </c>
      <c r="F4" s="1" t="s">
        <v>3</v>
      </c>
      <c r="G4" s="1" t="s">
        <v>27</v>
      </c>
    </row>
    <row r="5" spans="3:10">
      <c r="C5" s="1" t="s">
        <v>5</v>
      </c>
      <c r="D5" s="38">
        <v>1200</v>
      </c>
      <c r="E5" s="38">
        <v>1400</v>
      </c>
      <c r="F5" s="38">
        <v>1350</v>
      </c>
      <c r="G5" s="39">
        <f>SUM(D5:F5)</f>
        <v>3950</v>
      </c>
      <c r="J5" t="s">
        <v>31</v>
      </c>
    </row>
    <row r="6" spans="3:10">
      <c r="C6" s="1" t="s">
        <v>5</v>
      </c>
      <c r="D6" s="38">
        <v>800</v>
      </c>
      <c r="E6" s="38">
        <v>950</v>
      </c>
      <c r="F6" s="38">
        <v>1100</v>
      </c>
      <c r="G6" s="39">
        <f t="shared" ref="G6:G13" si="0">SUM(D6:F6)</f>
        <v>2850</v>
      </c>
    </row>
    <row r="7" spans="3:10">
      <c r="C7" s="1" t="s">
        <v>5</v>
      </c>
      <c r="D7" s="38">
        <v>150</v>
      </c>
      <c r="E7" s="38">
        <v>200</v>
      </c>
      <c r="F7" s="38">
        <v>250</v>
      </c>
      <c r="G7" s="39">
        <f t="shared" si="0"/>
        <v>600</v>
      </c>
    </row>
    <row r="8" spans="3:10">
      <c r="C8" s="1" t="s">
        <v>9</v>
      </c>
      <c r="D8" s="38">
        <v>350</v>
      </c>
      <c r="E8" s="38">
        <v>300</v>
      </c>
      <c r="F8" s="38">
        <v>400</v>
      </c>
      <c r="G8" s="39">
        <f t="shared" si="0"/>
        <v>1050</v>
      </c>
    </row>
    <row r="9" spans="3:10">
      <c r="C9" s="1" t="s">
        <v>11</v>
      </c>
      <c r="D9" s="38">
        <v>120</v>
      </c>
      <c r="E9" s="38">
        <v>140</v>
      </c>
      <c r="F9" s="38">
        <v>160</v>
      </c>
      <c r="G9" s="39">
        <f t="shared" si="0"/>
        <v>420</v>
      </c>
    </row>
    <row r="10" spans="3:10">
      <c r="C10" s="1" t="s">
        <v>11</v>
      </c>
      <c r="D10" s="38">
        <v>80</v>
      </c>
      <c r="E10" s="38">
        <v>100</v>
      </c>
      <c r="F10" s="38">
        <v>110</v>
      </c>
      <c r="G10" s="39">
        <f t="shared" si="0"/>
        <v>290</v>
      </c>
    </row>
    <row r="11" spans="3:10">
      <c r="C11" s="1" t="s">
        <v>14</v>
      </c>
      <c r="D11" s="38">
        <v>200</v>
      </c>
      <c r="E11" s="38">
        <v>250</v>
      </c>
      <c r="F11" s="38">
        <v>300</v>
      </c>
      <c r="G11" s="39">
        <f t="shared" si="0"/>
        <v>750</v>
      </c>
    </row>
    <row r="12" spans="3:10">
      <c r="C12" s="1" t="s">
        <v>14</v>
      </c>
      <c r="D12" s="38">
        <v>300</v>
      </c>
      <c r="E12" s="38">
        <v>350</v>
      </c>
      <c r="F12" s="38">
        <v>400</v>
      </c>
      <c r="G12" s="39">
        <f t="shared" si="0"/>
        <v>1050</v>
      </c>
    </row>
    <row r="13" spans="3:10">
      <c r="C13" s="1" t="s">
        <v>17</v>
      </c>
      <c r="D13" s="38">
        <v>250</v>
      </c>
      <c r="E13" s="38">
        <v>280</v>
      </c>
      <c r="F13" s="38">
        <v>320</v>
      </c>
      <c r="G13" s="39">
        <f t="shared" si="0"/>
        <v>850</v>
      </c>
    </row>
    <row r="17" spans="5:5">
      <c r="E17" t="s">
        <v>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S19" sqref="S19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workbookViewId="0">
      <selection activeCell="L3" sqref="L3"/>
    </sheetView>
  </sheetViews>
  <sheetFormatPr defaultRowHeight="15"/>
  <cols>
    <col min="2" max="2" width="10.5703125" bestFit="1" customWidth="1"/>
    <col min="3" max="3" width="11.5703125" customWidth="1"/>
    <col min="4" max="4" width="12" customWidth="1"/>
    <col min="5" max="5" width="11" customWidth="1"/>
    <col min="6" max="7" width="10" bestFit="1" customWidth="1"/>
    <col min="18" max="18" width="11.5703125" bestFit="1" customWidth="1"/>
  </cols>
  <sheetData>
    <row r="1" spans="1:19">
      <c r="C1" t="s">
        <v>83</v>
      </c>
      <c r="G1" t="s">
        <v>84</v>
      </c>
    </row>
    <row r="3" spans="1:19" ht="51.75">
      <c r="A3" s="1" t="s">
        <v>18</v>
      </c>
      <c r="B3" s="1" t="s">
        <v>0</v>
      </c>
      <c r="C3" s="2" t="s">
        <v>1</v>
      </c>
      <c r="D3" s="1" t="s">
        <v>2</v>
      </c>
      <c r="E3" s="1" t="s">
        <v>3</v>
      </c>
      <c r="F3" s="15" t="s">
        <v>36</v>
      </c>
      <c r="G3" s="40" t="s">
        <v>41</v>
      </c>
      <c r="H3" s="43" t="s">
        <v>44</v>
      </c>
      <c r="I3" s="41" t="s">
        <v>43</v>
      </c>
      <c r="J3" t="s">
        <v>63</v>
      </c>
    </row>
    <row r="4" spans="1:19">
      <c r="A4" s="1" t="s">
        <v>4</v>
      </c>
      <c r="B4" s="1" t="s">
        <v>5</v>
      </c>
      <c r="C4" s="45">
        <v>1200</v>
      </c>
      <c r="D4" s="46">
        <v>1400</v>
      </c>
      <c r="E4" s="45">
        <v>1350</v>
      </c>
      <c r="F4" s="47">
        <f>SUM(C4:E4)</f>
        <v>3950</v>
      </c>
      <c r="G4" s="48">
        <f>MAX(C4:E4)</f>
        <v>1400</v>
      </c>
      <c r="H4">
        <f>MATCH(G4,C4:E4, 0)</f>
        <v>2</v>
      </c>
      <c r="I4" s="16" t="str">
        <f>IF(H4=1,"Janu",IF(H4=2,"Febr","Mar"))</f>
        <v>Febr</v>
      </c>
      <c r="J4" t="s">
        <v>64</v>
      </c>
      <c r="O4" s="19" t="s">
        <v>55</v>
      </c>
      <c r="P4" s="20"/>
      <c r="Q4" s="21"/>
      <c r="R4" s="20"/>
      <c r="S4" s="22"/>
    </row>
    <row r="5" spans="1:19" ht="48.75">
      <c r="A5" s="1" t="s">
        <v>6</v>
      </c>
      <c r="B5" s="1" t="s">
        <v>5</v>
      </c>
      <c r="C5" s="45">
        <v>800</v>
      </c>
      <c r="D5" s="45">
        <v>950</v>
      </c>
      <c r="E5" s="46">
        <v>1100</v>
      </c>
      <c r="F5" s="47">
        <f t="shared" ref="F5:F12" si="0">SUM(C5:E5)</f>
        <v>2850</v>
      </c>
      <c r="G5" s="48">
        <f t="shared" ref="G5:G12" si="1">MAX(C5:E5)</f>
        <v>1100</v>
      </c>
      <c r="H5">
        <f>MATCH(G5,C5:E5, 0)</f>
        <v>3</v>
      </c>
      <c r="I5" s="16" t="str">
        <f>IF(H5=1,"Janu",IF(H5=2,"Febr","Mar"))</f>
        <v>Mar</v>
      </c>
      <c r="O5" s="23" t="s">
        <v>45</v>
      </c>
      <c r="P5" s="24" t="s">
        <v>46</v>
      </c>
      <c r="Q5" s="25" t="s">
        <v>47</v>
      </c>
      <c r="R5" s="36">
        <v>11810</v>
      </c>
      <c r="S5" s="26" t="s">
        <v>49</v>
      </c>
    </row>
    <row r="6" spans="1:19" ht="26.25">
      <c r="A6" s="1" t="s">
        <v>7</v>
      </c>
      <c r="B6" s="1" t="s">
        <v>5</v>
      </c>
      <c r="C6" s="45">
        <v>150</v>
      </c>
      <c r="D6" s="45">
        <v>200</v>
      </c>
      <c r="E6" s="46">
        <v>250</v>
      </c>
      <c r="F6" s="47">
        <f t="shared" si="0"/>
        <v>600</v>
      </c>
      <c r="G6" s="48">
        <f t="shared" si="1"/>
        <v>250</v>
      </c>
      <c r="H6">
        <f>MATCH(G6,C6:E6, 0)</f>
        <v>3</v>
      </c>
      <c r="I6" s="16" t="str">
        <f t="shared" ref="I6:I11" si="2">IF(H6=1,"Janu",IF(H6=2,"Febr","Mar"))</f>
        <v>Mar</v>
      </c>
      <c r="O6" s="23" t="s">
        <v>45</v>
      </c>
      <c r="P6" s="24" t="s">
        <v>46</v>
      </c>
      <c r="Q6" s="27" t="s">
        <v>48</v>
      </c>
      <c r="R6" s="36">
        <v>437.40740740740739</v>
      </c>
      <c r="S6" s="26" t="s">
        <v>50</v>
      </c>
    </row>
    <row r="7" spans="1:19">
      <c r="A7" s="1" t="s">
        <v>8</v>
      </c>
      <c r="B7" s="1" t="s">
        <v>9</v>
      </c>
      <c r="C7" s="45">
        <v>350</v>
      </c>
      <c r="D7" s="45">
        <v>300</v>
      </c>
      <c r="E7" s="46">
        <v>400</v>
      </c>
      <c r="F7" s="47">
        <f t="shared" si="0"/>
        <v>1050</v>
      </c>
      <c r="G7" s="48">
        <f t="shared" si="1"/>
        <v>400</v>
      </c>
      <c r="H7">
        <f>MATCH(G7,C7:E7, 0)</f>
        <v>3</v>
      </c>
      <c r="I7" s="16" t="str">
        <f t="shared" si="2"/>
        <v>Mar</v>
      </c>
      <c r="O7" s="23" t="s">
        <v>45</v>
      </c>
      <c r="P7" s="24" t="s">
        <v>46</v>
      </c>
      <c r="Q7" s="28" t="s">
        <v>51</v>
      </c>
      <c r="R7" s="36">
        <v>1400</v>
      </c>
      <c r="S7" s="26" t="s">
        <v>53</v>
      </c>
    </row>
    <row r="8" spans="1:19" ht="36.75">
      <c r="A8" s="1" t="s">
        <v>10</v>
      </c>
      <c r="B8" s="1" t="s">
        <v>11</v>
      </c>
      <c r="C8" s="45">
        <v>120</v>
      </c>
      <c r="D8" s="45">
        <v>140</v>
      </c>
      <c r="E8" s="46">
        <v>160</v>
      </c>
      <c r="F8" s="47">
        <f t="shared" si="0"/>
        <v>420</v>
      </c>
      <c r="G8" s="35">
        <f t="shared" si="1"/>
        <v>160</v>
      </c>
      <c r="H8">
        <f>MATCH(G8,C8:E8, 0)</f>
        <v>3</v>
      </c>
      <c r="I8" s="16" t="str">
        <f t="shared" si="2"/>
        <v>Mar</v>
      </c>
      <c r="O8" s="29" t="s">
        <v>45</v>
      </c>
      <c r="P8" s="30" t="s">
        <v>46</v>
      </c>
      <c r="Q8" s="31" t="s">
        <v>52</v>
      </c>
      <c r="R8" s="37">
        <v>80</v>
      </c>
      <c r="S8" s="32" t="s">
        <v>54</v>
      </c>
    </row>
    <row r="9" spans="1:19">
      <c r="A9" s="1" t="s">
        <v>12</v>
      </c>
      <c r="B9" s="1" t="s">
        <v>11</v>
      </c>
      <c r="C9" s="45">
        <v>80</v>
      </c>
      <c r="D9" s="45">
        <v>100</v>
      </c>
      <c r="E9" s="46">
        <v>110</v>
      </c>
      <c r="F9" s="47">
        <f t="shared" si="0"/>
        <v>290</v>
      </c>
      <c r="G9" s="35">
        <f t="shared" si="1"/>
        <v>110</v>
      </c>
      <c r="H9">
        <f>MATCH(G9,C9:E9, 0)</f>
        <v>3</v>
      </c>
      <c r="I9" s="16" t="str">
        <f t="shared" si="2"/>
        <v>Mar</v>
      </c>
      <c r="R9" t="s">
        <v>57</v>
      </c>
    </row>
    <row r="10" spans="1:19">
      <c r="A10" s="1" t="s">
        <v>13</v>
      </c>
      <c r="B10" s="1" t="s">
        <v>14</v>
      </c>
      <c r="C10" s="45">
        <v>200</v>
      </c>
      <c r="D10" s="45">
        <v>250</v>
      </c>
      <c r="E10" s="46">
        <v>300</v>
      </c>
      <c r="F10" s="47">
        <f t="shared" si="0"/>
        <v>750</v>
      </c>
      <c r="G10" s="35">
        <f t="shared" si="1"/>
        <v>300</v>
      </c>
      <c r="H10">
        <f>MATCH(G10,C10:E10, 0)</f>
        <v>3</v>
      </c>
      <c r="I10" s="16" t="str">
        <f t="shared" si="2"/>
        <v>Mar</v>
      </c>
      <c r="K10" s="50" t="s">
        <v>85</v>
      </c>
      <c r="R10" t="s">
        <v>58</v>
      </c>
    </row>
    <row r="11" spans="1:19">
      <c r="A11" s="1" t="s">
        <v>15</v>
      </c>
      <c r="B11" s="1" t="s">
        <v>14</v>
      </c>
      <c r="C11" s="45">
        <v>300</v>
      </c>
      <c r="D11" s="45">
        <v>350</v>
      </c>
      <c r="E11" s="46">
        <v>400</v>
      </c>
      <c r="F11" s="47">
        <f t="shared" si="0"/>
        <v>1050</v>
      </c>
      <c r="G11" s="35">
        <f t="shared" si="1"/>
        <v>400</v>
      </c>
      <c r="H11">
        <f>MATCH(G11,C11:E11, 0)</f>
        <v>3</v>
      </c>
      <c r="I11" s="16" t="str">
        <f t="shared" si="2"/>
        <v>Mar</v>
      </c>
      <c r="L11" s="50" t="s">
        <v>86</v>
      </c>
    </row>
    <row r="12" spans="1:19">
      <c r="A12" s="1" t="s">
        <v>16</v>
      </c>
      <c r="B12" s="1" t="s">
        <v>17</v>
      </c>
      <c r="C12" s="45">
        <v>250</v>
      </c>
      <c r="D12" s="45">
        <v>280</v>
      </c>
      <c r="E12" s="46">
        <f>320-100*0</f>
        <v>320</v>
      </c>
      <c r="F12" s="47">
        <f t="shared" si="0"/>
        <v>850</v>
      </c>
      <c r="G12" s="35">
        <f t="shared" si="1"/>
        <v>320</v>
      </c>
      <c r="H12">
        <f>MATCH(G12,C12:E12, 0)</f>
        <v>3</v>
      </c>
      <c r="I12" s="16" t="str">
        <f>IF(H12=1,"Janu",IF(H12=2,"Febr","Mar"))</f>
        <v>Mar</v>
      </c>
    </row>
    <row r="13" spans="1:19">
      <c r="A13" s="12" t="s">
        <v>38</v>
      </c>
      <c r="B13" s="1"/>
      <c r="C13" s="1"/>
      <c r="D13" s="1"/>
      <c r="E13" s="1" t="s">
        <v>39</v>
      </c>
      <c r="F13" s="13">
        <f>SUM(F4:F12)</f>
        <v>11810</v>
      </c>
      <c r="G13" s="9" t="s">
        <v>61</v>
      </c>
      <c r="J13" t="s">
        <v>80</v>
      </c>
    </row>
    <row r="14" spans="1:19">
      <c r="A14" s="12"/>
      <c r="B14" s="1"/>
      <c r="C14" s="1"/>
      <c r="D14" s="1"/>
      <c r="E14" s="1"/>
      <c r="F14" s="49"/>
      <c r="G14" s="9"/>
    </row>
    <row r="15" spans="1:19">
      <c r="A15" s="12"/>
      <c r="B15" s="1"/>
      <c r="C15" s="1"/>
      <c r="D15" s="1"/>
      <c r="E15" s="54" t="s">
        <v>89</v>
      </c>
      <c r="F15" s="49"/>
      <c r="G15" s="9"/>
    </row>
    <row r="16" spans="1:19">
      <c r="A16" s="12"/>
      <c r="B16" s="1"/>
      <c r="C16" s="52" t="s">
        <v>69</v>
      </c>
      <c r="D16" s="1"/>
      <c r="E16" s="1"/>
      <c r="F16" s="49"/>
      <c r="G16" s="9"/>
      <c r="I16" s="50" t="s">
        <v>65</v>
      </c>
      <c r="O16" s="50" t="s">
        <v>70</v>
      </c>
    </row>
    <row r="17" spans="1:6">
      <c r="A17" s="50" t="s">
        <v>79</v>
      </c>
      <c r="B17" s="50"/>
      <c r="C17" s="50"/>
      <c r="D17" s="50"/>
      <c r="E17" s="50"/>
      <c r="F17" s="50"/>
    </row>
    <row r="18" spans="1:6">
      <c r="A18" s="3" t="s">
        <v>19</v>
      </c>
      <c r="B18" s="3" t="s">
        <v>21</v>
      </c>
      <c r="C18" t="s">
        <v>22</v>
      </c>
      <c r="D18" t="s">
        <v>23</v>
      </c>
    </row>
    <row r="19" spans="1:6">
      <c r="A19" s="4" t="s">
        <v>11</v>
      </c>
      <c r="B19" s="53">
        <v>200</v>
      </c>
      <c r="C19" s="53">
        <v>240</v>
      </c>
      <c r="D19" s="53">
        <v>270</v>
      </c>
    </row>
    <row r="20" spans="1:6">
      <c r="A20" s="4" t="s">
        <v>14</v>
      </c>
      <c r="B20" s="53">
        <v>500</v>
      </c>
      <c r="C20" s="53">
        <v>600</v>
      </c>
      <c r="D20" s="53">
        <v>700</v>
      </c>
    </row>
    <row r="21" spans="1:6">
      <c r="A21" s="4" t="s">
        <v>5</v>
      </c>
      <c r="B21" s="53">
        <v>2150</v>
      </c>
      <c r="C21" s="53">
        <v>2550</v>
      </c>
      <c r="D21" s="53">
        <v>2700</v>
      </c>
    </row>
    <row r="22" spans="1:6">
      <c r="A22" s="4" t="s">
        <v>17</v>
      </c>
      <c r="B22" s="53">
        <v>250</v>
      </c>
      <c r="C22" s="53">
        <v>280</v>
      </c>
      <c r="D22" s="53">
        <v>320</v>
      </c>
    </row>
    <row r="23" spans="1:6">
      <c r="A23" s="4" t="s">
        <v>9</v>
      </c>
      <c r="B23" s="53">
        <v>350</v>
      </c>
      <c r="C23" s="53">
        <v>300</v>
      </c>
      <c r="D23" s="53">
        <v>400</v>
      </c>
    </row>
    <row r="24" spans="1:6">
      <c r="A24" s="4" t="s">
        <v>20</v>
      </c>
      <c r="B24" s="53">
        <v>3450</v>
      </c>
      <c r="C24" s="53">
        <v>3970</v>
      </c>
      <c r="D24" s="53">
        <v>4390</v>
      </c>
    </row>
    <row r="26" spans="1:6">
      <c r="C26" s="51" t="s">
        <v>68</v>
      </c>
    </row>
    <row r="28" spans="1:6">
      <c r="D28" t="s">
        <v>73</v>
      </c>
    </row>
    <row r="31" spans="1:6">
      <c r="D31" t="s">
        <v>90</v>
      </c>
    </row>
    <row r="32" spans="1:6">
      <c r="E32" t="s">
        <v>91</v>
      </c>
    </row>
    <row r="33" spans="1:9">
      <c r="I33" s="50" t="s">
        <v>66</v>
      </c>
    </row>
    <row r="34" spans="1:9">
      <c r="I34" s="50" t="s">
        <v>67</v>
      </c>
    </row>
    <row r="45" spans="1:9">
      <c r="B45" t="s">
        <v>75</v>
      </c>
      <c r="C45" t="s">
        <v>76</v>
      </c>
      <c r="D45" t="s">
        <v>77</v>
      </c>
      <c r="E45" t="s">
        <v>78</v>
      </c>
    </row>
    <row r="46" spans="1:9">
      <c r="A46" s="3" t="s">
        <v>19</v>
      </c>
      <c r="B46" s="3" t="s">
        <v>22</v>
      </c>
      <c r="C46" t="s">
        <v>23</v>
      </c>
      <c r="D46" t="s">
        <v>21</v>
      </c>
    </row>
    <row r="47" spans="1:9">
      <c r="A47" s="4" t="s">
        <v>12</v>
      </c>
      <c r="B47" s="53">
        <v>100</v>
      </c>
      <c r="C47" s="53">
        <v>110</v>
      </c>
      <c r="D47" s="6">
        <v>80</v>
      </c>
    </row>
    <row r="48" spans="1:9">
      <c r="A48" s="4" t="s">
        <v>10</v>
      </c>
      <c r="B48" s="53">
        <v>140</v>
      </c>
      <c r="C48" s="53">
        <v>160</v>
      </c>
      <c r="D48" s="6">
        <v>120</v>
      </c>
    </row>
    <row r="49" spans="1:6">
      <c r="A49" s="4" t="s">
        <v>8</v>
      </c>
      <c r="B49" s="53">
        <v>300</v>
      </c>
      <c r="C49" s="53">
        <v>400</v>
      </c>
      <c r="D49" s="6">
        <v>350</v>
      </c>
    </row>
    <row r="50" spans="1:6">
      <c r="A50" s="4" t="s">
        <v>7</v>
      </c>
      <c r="B50" s="53">
        <v>200</v>
      </c>
      <c r="C50" s="53">
        <v>250</v>
      </c>
      <c r="D50" s="6">
        <v>150</v>
      </c>
      <c r="E50" t="s">
        <v>81</v>
      </c>
    </row>
    <row r="51" spans="1:6">
      <c r="A51" s="4" t="s">
        <v>15</v>
      </c>
      <c r="B51" s="53">
        <v>350</v>
      </c>
      <c r="C51" s="53">
        <v>400</v>
      </c>
      <c r="D51" s="6">
        <v>300</v>
      </c>
      <c r="E51" t="s">
        <v>82</v>
      </c>
    </row>
    <row r="52" spans="1:6">
      <c r="A52" s="4" t="s">
        <v>4</v>
      </c>
      <c r="B52" s="53">
        <v>1400</v>
      </c>
      <c r="C52" s="53">
        <v>1350</v>
      </c>
      <c r="D52" s="6">
        <v>1200</v>
      </c>
    </row>
    <row r="53" spans="1:6">
      <c r="A53" s="4" t="s">
        <v>6</v>
      </c>
      <c r="B53" s="53">
        <v>950</v>
      </c>
      <c r="C53" s="53">
        <v>1100</v>
      </c>
      <c r="D53" s="6">
        <v>800</v>
      </c>
    </row>
    <row r="54" spans="1:6">
      <c r="A54" s="4" t="s">
        <v>16</v>
      </c>
      <c r="B54" s="53">
        <v>280</v>
      </c>
      <c r="C54" s="53">
        <v>320</v>
      </c>
      <c r="D54" s="6">
        <v>250</v>
      </c>
    </row>
    <row r="55" spans="1:6">
      <c r="A55" s="4" t="s">
        <v>13</v>
      </c>
      <c r="B55" s="53">
        <v>250</v>
      </c>
      <c r="C55" s="53">
        <v>300</v>
      </c>
      <c r="D55" s="6">
        <v>200</v>
      </c>
    </row>
    <row r="56" spans="1:6">
      <c r="A56" s="4" t="s">
        <v>20</v>
      </c>
      <c r="B56" s="53">
        <v>3970</v>
      </c>
      <c r="C56" s="53">
        <v>4390</v>
      </c>
      <c r="D56" s="53">
        <v>3450</v>
      </c>
    </row>
    <row r="59" spans="1:6">
      <c r="C59" t="s">
        <v>24</v>
      </c>
    </row>
    <row r="63" spans="1:6">
      <c r="B63" t="s">
        <v>26</v>
      </c>
    </row>
    <row r="64" spans="1:6">
      <c r="A64" s="3" t="s">
        <v>19</v>
      </c>
      <c r="B64" s="3" t="s">
        <v>21</v>
      </c>
      <c r="C64" t="s">
        <v>22</v>
      </c>
      <c r="D64" t="s">
        <v>23</v>
      </c>
      <c r="E64" s="8" t="s">
        <v>25</v>
      </c>
      <c r="F64" t="s">
        <v>87</v>
      </c>
    </row>
    <row r="65" spans="1:6">
      <c r="A65" s="4" t="s">
        <v>12</v>
      </c>
      <c r="B65" s="6">
        <v>80</v>
      </c>
      <c r="C65" s="6">
        <v>100</v>
      </c>
      <c r="D65" s="6">
        <v>110</v>
      </c>
      <c r="E65" s="9">
        <f>SUM(B65:D65)</f>
        <v>290</v>
      </c>
      <c r="F65">
        <f>AVERAGE(B65:D65)</f>
        <v>96.666666666666671</v>
      </c>
    </row>
    <row r="66" spans="1:6">
      <c r="A66" s="4" t="s">
        <v>10</v>
      </c>
      <c r="B66" s="6">
        <v>120</v>
      </c>
      <c r="C66" s="6">
        <v>140</v>
      </c>
      <c r="D66" s="6">
        <v>160</v>
      </c>
      <c r="E66" s="9">
        <f t="shared" ref="E66:E73" si="3">SUM(B66:D66)</f>
        <v>420</v>
      </c>
      <c r="F66">
        <f t="shared" ref="F66:F73" si="4">AVERAGE(B66:D66)</f>
        <v>140</v>
      </c>
    </row>
    <row r="67" spans="1:6">
      <c r="A67" s="4" t="s">
        <v>8</v>
      </c>
      <c r="B67" s="6">
        <v>350</v>
      </c>
      <c r="C67" s="6">
        <v>300</v>
      </c>
      <c r="D67" s="6">
        <v>400</v>
      </c>
      <c r="E67" s="9">
        <f t="shared" si="3"/>
        <v>1050</v>
      </c>
      <c r="F67">
        <f t="shared" si="4"/>
        <v>350</v>
      </c>
    </row>
    <row r="68" spans="1:6">
      <c r="A68" s="4" t="s">
        <v>7</v>
      </c>
      <c r="B68" s="6">
        <v>150</v>
      </c>
      <c r="C68" s="6">
        <v>200</v>
      </c>
      <c r="D68" s="6">
        <v>250</v>
      </c>
      <c r="E68" s="9">
        <f t="shared" si="3"/>
        <v>600</v>
      </c>
      <c r="F68">
        <f t="shared" si="4"/>
        <v>200</v>
      </c>
    </row>
    <row r="69" spans="1:6">
      <c r="A69" s="4" t="s">
        <v>15</v>
      </c>
      <c r="B69" s="6">
        <v>300</v>
      </c>
      <c r="C69" s="6">
        <v>350</v>
      </c>
      <c r="D69" s="6">
        <v>400</v>
      </c>
      <c r="E69" s="9">
        <f t="shared" si="3"/>
        <v>1050</v>
      </c>
      <c r="F69">
        <f t="shared" si="4"/>
        <v>350</v>
      </c>
    </row>
    <row r="70" spans="1:6">
      <c r="A70" s="4" t="s">
        <v>4</v>
      </c>
      <c r="B70" s="6">
        <v>1200</v>
      </c>
      <c r="C70" s="6">
        <v>1400</v>
      </c>
      <c r="D70" s="6">
        <v>1350</v>
      </c>
      <c r="E70" s="9">
        <f t="shared" si="3"/>
        <v>3950</v>
      </c>
      <c r="F70">
        <f t="shared" si="4"/>
        <v>1316.6666666666667</v>
      </c>
    </row>
    <row r="71" spans="1:6">
      <c r="A71" s="4" t="s">
        <v>6</v>
      </c>
      <c r="B71" s="6">
        <v>800</v>
      </c>
      <c r="C71" s="6">
        <v>950</v>
      </c>
      <c r="D71" s="6">
        <v>1100</v>
      </c>
      <c r="E71" s="9">
        <f t="shared" si="3"/>
        <v>2850</v>
      </c>
      <c r="F71">
        <f t="shared" si="4"/>
        <v>950</v>
      </c>
    </row>
    <row r="72" spans="1:6">
      <c r="A72" s="4" t="s">
        <v>16</v>
      </c>
      <c r="B72" s="6">
        <v>250</v>
      </c>
      <c r="C72" s="6">
        <v>280</v>
      </c>
      <c r="D72" s="6">
        <v>320</v>
      </c>
      <c r="E72" s="9">
        <f t="shared" si="3"/>
        <v>850</v>
      </c>
      <c r="F72">
        <f t="shared" si="4"/>
        <v>283.33333333333331</v>
      </c>
    </row>
    <row r="73" spans="1:6">
      <c r="A73" s="4" t="s">
        <v>13</v>
      </c>
      <c r="B73" s="6">
        <v>200</v>
      </c>
      <c r="C73" s="6">
        <v>250</v>
      </c>
      <c r="D73" s="6">
        <v>300</v>
      </c>
      <c r="E73" s="9">
        <f t="shared" si="3"/>
        <v>750</v>
      </c>
      <c r="F73">
        <f t="shared" si="4"/>
        <v>250</v>
      </c>
    </row>
    <row r="74" spans="1:6">
      <c r="A74" s="4" t="s">
        <v>20</v>
      </c>
      <c r="B74" s="6">
        <v>3450</v>
      </c>
      <c r="C74" s="6">
        <v>3970</v>
      </c>
      <c r="D74" s="6">
        <v>4390</v>
      </c>
    </row>
    <row r="76" spans="1:6">
      <c r="A76" s="4" t="s">
        <v>88</v>
      </c>
    </row>
  </sheetData>
  <pageMargins left="0.7" right="0.7" top="0.75" bottom="0.75" header="0.3" footer="0.3"/>
  <pageSetup orientation="portrait" horizontalDpi="1200" verticalDpi="1200" r:id="rId4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Sheet4</vt:lpstr>
      <vt:lpstr>Sheet5</vt:lpstr>
      <vt:lpstr>Sheet6</vt:lpstr>
      <vt:lpstr>Sheet7</vt:lpstr>
      <vt:lpstr>Sheet12</vt:lpstr>
      <vt:lpstr>Sheet11</vt:lpstr>
      <vt:lpstr>Sheet13</vt:lpstr>
      <vt:lpstr>Sheet14</vt:lpstr>
      <vt:lpstr>Sheet1</vt:lpstr>
      <vt:lpstr>Sheet2</vt:lpstr>
      <vt:lpstr>Sheet3</vt:lpstr>
      <vt:lpstr>Sheet8</vt:lpstr>
      <vt:lpstr>Sheet10</vt:lpstr>
      <vt:lpstr>Dashboard      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2026-05-22T14:57:34Z</dcterms:created>
  <dcterms:modified xsi:type="dcterms:W3CDTF">2026-06-01T19:16:06Z</dcterms:modified>
</cp:coreProperties>
</file>